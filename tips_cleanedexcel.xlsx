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avy\Downloads\Data_Analyst_intern_assignment\tips_python\"/>
    </mc:Choice>
  </mc:AlternateContent>
  <xr:revisionPtr revIDLastSave="0" documentId="13_ncr:1_{314F31C3-306C-4E49-8851-F4E6DC05A59B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BarChart" sheetId="2" r:id="rId1"/>
    <sheet name="PieChart" sheetId="4" r:id="rId2"/>
    <sheet name="Scatterplot" sheetId="1" r:id="rId3"/>
    <sheet name="tips_cleanedexcel" sheetId="8" r:id="rId4"/>
    <sheet name="Tips_Dashboard" sheetId="7" r:id="rId5"/>
  </sheets>
  <definedNames>
    <definedName name="_xlnm._FilterDatabase" localSheetId="2" hidden="1">Scatterplot!$A$1:$H$245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7" l="1"/>
  <c r="G5" i="7"/>
  <c r="D5" i="7"/>
  <c r="A5" i="7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" i="1"/>
</calcChain>
</file>

<file path=xl/sharedStrings.xml><?xml version="1.0" encoding="utf-8"?>
<sst xmlns="http://schemas.openxmlformats.org/spreadsheetml/2006/main" count="1996" uniqueCount="37">
  <si>
    <t>total_bill</t>
  </si>
  <si>
    <t>tip</t>
  </si>
  <si>
    <t>sex</t>
  </si>
  <si>
    <t>smoker</t>
  </si>
  <si>
    <t>day</t>
  </si>
  <si>
    <t>time</t>
  </si>
  <si>
    <t>size</t>
  </si>
  <si>
    <t>tip_percentage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</si>
  <si>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</si>
  <si>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</si>
  <si>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</si>
  <si>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</si>
  <si>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</si>
  <si>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</si>
  <si>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</si>
  <si>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</si>
  <si>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</si>
  <si>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</si>
  <si>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Row Labels</t>
  </si>
  <si>
    <t>Grand Total</t>
  </si>
  <si>
    <t>Column Labels</t>
  </si>
  <si>
    <t>Average Tip % by Day and Time</t>
  </si>
  <si>
    <t xml:space="preserve"> Smoker vs Non-Smoker Distribution</t>
  </si>
  <si>
    <t>Female_bill</t>
  </si>
  <si>
    <t>Female_tip</t>
  </si>
  <si>
    <t>Male_bill</t>
  </si>
  <si>
    <t>Male_tip</t>
  </si>
  <si>
    <t>TIPS DASHBOARD</t>
  </si>
  <si>
    <t>AVERAGE TIP %</t>
  </si>
  <si>
    <t>AVERAGE BILL</t>
  </si>
  <si>
    <t>TOTAL TRANSACTIONS</t>
  </si>
  <si>
    <t>AVERAGE PARTY SIZE</t>
  </si>
  <si>
    <t>KEY INSIGHTS</t>
  </si>
  <si>
    <t>• Friday Lunch has the highest observed average tip percentage</t>
  </si>
  <si>
    <t xml:space="preserve">  at approximately 18.88%, but it is based on only 7 observations.</t>
  </si>
  <si>
    <t>• Non-smokers represent approximately 61.9% of the observations.</t>
  </si>
  <si>
    <t>• Total bill and tip amount show a positive relationship.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</si>
</sst>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4" borderId="0" xfId="0" applyFill="1"/>
    <xf numFmtId="0" fontId="19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0" fontId="0" fillId="34" borderId="0" xfId="0" applyFill="1" applyAlignment="1">
      <alignment horizontal="center" vertical="center"/>
    </xf>
    <xf numFmtId="2" fontId="19" fillId="34" borderId="0" xfId="0" applyNumberFormat="1" applyFont="1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19" fillId="34" borderId="0" xfId="0" applyFont="1" applyFill="1" applyAlignment="1">
      <alignment horizontal="center"/>
    </xf>
    <xf numFmtId="2" fontId="19" fillId="34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[tips_cleanedexcel.xlsx]BarChart!PivotTable1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BarChart!$B$3:$B$4</c:f>
              <c:strCache>
                <c:ptCount val="1"/>
                <c:pt idx="0">
                  <c:v>Lunch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BarChart!$A$5:$A$9</c:f>
              <c:strCache>
                <c:ptCount val="4"/>
                <c:pt idx="0">
                  <c:v>Fri</c:v>
                </c:pt>
                <c:pt idx="1">
                  <c:v>Sun</c:v>
                </c:pt>
                <c:pt idx="2">
                  <c:v>Thur</c:v>
                </c:pt>
                <c:pt idx="3">
                  <c:v>Sat</c:v>
                </c:pt>
              </c:strCache>
            </c:strRef>
          </c:cat>
          <c:val>
            <c:numRef>
              <c:f>BarChart!$B$5:$B$9</c:f>
              <c:numCache>
                <c:formatCode>General</c:formatCode>
                <c:ptCount val="4"/>
                <c:pt idx="0">
                  <c:v>18.876488829484288</c:v>
                </c:pt>
                <c:pt idx="2">
                  <c:v>16.13007360161706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8-4113-872A-485FB4D587CB}"/>
            </c:ext>
          </c:extLst>
        </c:ser>
        <c:ser>
          <c:idx val="1"/>
          <c:order val="1"/>
          <c:tx>
            <c:strRef>
              <c:f>BarChart!$C$3:$C$4</c:f>
              <c:strCache>
                <c:ptCount val="1"/>
                <c:pt idx="0">
                  <c:v>Dinner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BarChart!$A$5:$A$9</c:f>
              <c:strCache>
                <c:ptCount val="4"/>
                <c:pt idx="0">
                  <c:v>Fri</c:v>
                </c:pt>
                <c:pt idx="1">
                  <c:v>Sun</c:v>
                </c:pt>
                <c:pt idx="2">
                  <c:v>Thur</c:v>
                </c:pt>
                <c:pt idx="3">
                  <c:v>Sat</c:v>
                </c:pt>
              </c:strCache>
            </c:strRef>
          </c:cat>
          <c:val>
            <c:numRef>
              <c:f>BarChart!$C$5:$C$9</c:f>
              <c:numCache>
                <c:formatCode>General</c:formatCode>
                <c:ptCount val="4"/>
                <c:pt idx="0">
                  <c:v>15.891611065601566</c:v>
                </c:pt>
                <c:pt idx="1">
                  <c:v>16.689728635113415</c:v>
                </c:pt>
                <c:pt idx="2">
                  <c:v>15.9744408945686</c:v>
                </c:pt>
                <c:pt idx="3">
                  <c:v>15.315171638777773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8-4113-872A-485FB4D58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910168"/>
        <c:axId val="601912464"/>
      </c:barChart>
      <c:catAx>
        <c:axId val="60191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12464"/>
        <c:crosses val="autoZero"/>
        <c:auto val="1"/>
        <c:lblAlgn val="ctr"/>
        <c:lblOffset val="100"/>
        <c:noMultiLvlLbl val="0"/>
      </c:catAx>
      <c:valAx>
        <c:axId val="6019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1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[tips_cleanedexcel.xlsx]PieChart!PivotTable2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PieChart!$B$3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65-45E7-8FC3-A783FA608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65-45E7-8FC3-A783FA608DAC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1765-45E7-8FC3-A783FA608DAC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765-45E7-8FC3-A783FA608D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PieChart!$A$4:$A$5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PieChart!$B$4:$B$5</c:f>
              <c:numCache>
                <c:formatCode>General</c:formatCode>
                <c:ptCount val="2"/>
                <c:pt idx="0">
                  <c:v>151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5-45E7-8FC3-A783FA608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Bill vs. Tip by Sex</a:t>
            </a:r>
          </a:p>
        </c:rich>
      </c:tx>
      <c:layout>
        <c:manualLayout>
          <c:xMode val="edge"/>
          <c:yMode val="edge"/>
          <c:x val="0.32281420000243399"/>
          <c:y val="2.3426057892490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Female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Scatterplot!$I$2:$I$245</c:f>
              <c:numCache>
                <c:formatCode>General</c:formatCode>
                <c:ptCount val="244"/>
                <c:pt idx="0">
                  <c:v>16.989999999999998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24.59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35.26</c:v>
                </c:pt>
                <c:pt idx="12">
                  <c:v>#N/A</c:v>
                </c:pt>
                <c:pt idx="13">
                  <c:v>#N/A</c:v>
                </c:pt>
                <c:pt idx="14">
                  <c:v>14.83</c:v>
                </c:pt>
                <c:pt idx="15">
                  <c:v>#N/A</c:v>
                </c:pt>
                <c:pt idx="16">
                  <c:v>10.33</c:v>
                </c:pt>
                <c:pt idx="17">
                  <c:v>#N/A</c:v>
                </c:pt>
                <c:pt idx="18">
                  <c:v>16.97</c:v>
                </c:pt>
                <c:pt idx="19">
                  <c:v>#N/A</c:v>
                </c:pt>
                <c:pt idx="20">
                  <c:v>#N/A</c:v>
                </c:pt>
                <c:pt idx="21">
                  <c:v>20.29</c:v>
                </c:pt>
                <c:pt idx="22">
                  <c:v>15.77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19.649999999999999</c:v>
                </c:pt>
                <c:pt idx="30">
                  <c:v>#N/A</c:v>
                </c:pt>
                <c:pt idx="31">
                  <c:v>#N/A</c:v>
                </c:pt>
                <c:pt idx="32">
                  <c:v>15.06</c:v>
                </c:pt>
                <c:pt idx="33">
                  <c:v>20.69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16.93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10.29</c:v>
                </c:pt>
                <c:pt idx="52">
                  <c:v>34.81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26.41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16.45</c:v>
                </c:pt>
                <c:pt idx="67">
                  <c:v>3.07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10.07</c:v>
                </c:pt>
                <c:pt idx="83">
                  <c:v>#N/A</c:v>
                </c:pt>
                <c:pt idx="84">
                  <c:v>#N/A</c:v>
                </c:pt>
                <c:pt idx="85">
                  <c:v>34.83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14.31</c:v>
                </c:pt>
                <c:pt idx="110">
                  <c:v>#N/A</c:v>
                </c:pt>
                <c:pt idx="111">
                  <c:v>7.25</c:v>
                </c:pt>
                <c:pt idx="112">
                  <c:v>#N/A</c:v>
                </c:pt>
                <c:pt idx="113">
                  <c:v>#N/A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#N/A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#N/A</c:v>
                </c:pt>
                <c:pt idx="121">
                  <c:v>13.42</c:v>
                </c:pt>
                <c:pt idx="122">
                  <c:v>#N/A</c:v>
                </c:pt>
                <c:pt idx="123">
                  <c:v>#N/A</c:v>
                </c:pt>
                <c:pt idx="124">
                  <c:v>12.48</c:v>
                </c:pt>
                <c:pt idx="125">
                  <c:v>29.8</c:v>
                </c:pt>
                <c:pt idx="126">
                  <c:v>#N/A</c:v>
                </c:pt>
                <c:pt idx="127">
                  <c:v>14.52</c:v>
                </c:pt>
                <c:pt idx="128">
                  <c:v>11.38</c:v>
                </c:pt>
                <c:pt idx="129">
                  <c:v>#N/A</c:v>
                </c:pt>
                <c:pt idx="130">
                  <c:v>#N/A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#N/A</c:v>
                </c:pt>
                <c:pt idx="139">
                  <c:v>13.16</c:v>
                </c:pt>
                <c:pt idx="140">
                  <c:v>17.47</c:v>
                </c:pt>
                <c:pt idx="141">
                  <c:v>#N/A</c:v>
                </c:pt>
                <c:pt idx="142">
                  <c:v>#N/A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29.85</c:v>
                </c:pt>
                <c:pt idx="156">
                  <c:v>#N/A</c:v>
                </c:pt>
                <c:pt idx="157">
                  <c:v>25</c:v>
                </c:pt>
                <c:pt idx="158">
                  <c:v>13.39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16.21</c:v>
                </c:pt>
                <c:pt idx="163">
                  <c:v>#N/A</c:v>
                </c:pt>
                <c:pt idx="164">
                  <c:v>17.510000000000002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10.59</c:v>
                </c:pt>
                <c:pt idx="169">
                  <c:v>10.63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9.6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20.9</c:v>
                </c:pt>
                <c:pt idx="187">
                  <c:v>#N/A</c:v>
                </c:pt>
                <c:pt idx="188">
                  <c:v>18.149999999999999</c:v>
                </c:pt>
                <c:pt idx="189">
                  <c:v>#N/A</c:v>
                </c:pt>
                <c:pt idx="190">
                  <c:v>#N/A</c:v>
                </c:pt>
                <c:pt idx="191">
                  <c:v>19.809999999999999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43.11</c:v>
                </c:pt>
                <c:pt idx="198">
                  <c:v>13</c:v>
                </c:pt>
                <c:pt idx="199">
                  <c:v>#N/A</c:v>
                </c:pt>
                <c:pt idx="200">
                  <c:v>#N/A</c:v>
                </c:pt>
                <c:pt idx="201">
                  <c:v>12.74</c:v>
                </c:pt>
                <c:pt idx="202">
                  <c:v>13</c:v>
                </c:pt>
                <c:pt idx="203">
                  <c:v>16.399999999999999</c:v>
                </c:pt>
                <c:pt idx="204">
                  <c:v>#N/A</c:v>
                </c:pt>
                <c:pt idx="205">
                  <c:v>16.47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12.76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13.27</c:v>
                </c:pt>
                <c:pt idx="214">
                  <c:v>28.17</c:v>
                </c:pt>
                <c:pt idx="215">
                  <c:v>12.9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30.14</c:v>
                </c:pt>
                <c:pt idx="220">
                  <c:v>#N/A</c:v>
                </c:pt>
                <c:pt idx="221">
                  <c:v>13.42</c:v>
                </c:pt>
                <c:pt idx="222">
                  <c:v>#N/A</c:v>
                </c:pt>
                <c:pt idx="223">
                  <c:v>15.98</c:v>
                </c:pt>
                <c:pt idx="224">
                  <c:v>#N/A</c:v>
                </c:pt>
                <c:pt idx="225">
                  <c:v>16.27</c:v>
                </c:pt>
                <c:pt idx="226">
                  <c:v>10.09</c:v>
                </c:pt>
                <c:pt idx="227">
                  <c:v>#N/A</c:v>
                </c:pt>
                <c:pt idx="228">
                  <c:v>#N/A</c:v>
                </c:pt>
                <c:pt idx="229">
                  <c:v>22.12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35.83</c:v>
                </c:pt>
                <c:pt idx="239">
                  <c:v>#N/A</c:v>
                </c:pt>
                <c:pt idx="240">
                  <c:v>27.18</c:v>
                </c:pt>
                <c:pt idx="241">
                  <c:v>#N/A</c:v>
                </c:pt>
                <c:pt idx="242">
                  <c:v>#N/A</c:v>
                </c:pt>
                <c:pt idx="243">
                  <c:v>18.78</c:v>
                </c:pt>
              </c:numCache>
            </c:numRef>
          </c:xVal>
          <c:yVal>
            <c:numRef>
              <c:f>Scatterplot!$J$2:$J$245</c:f>
              <c:numCache>
                <c:formatCode>General</c:formatCode>
                <c:ptCount val="244"/>
                <c:pt idx="0">
                  <c:v>1.01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3.61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5</c:v>
                </c:pt>
                <c:pt idx="12">
                  <c:v>#N/A</c:v>
                </c:pt>
                <c:pt idx="13">
                  <c:v>#N/A</c:v>
                </c:pt>
                <c:pt idx="14">
                  <c:v>3.02</c:v>
                </c:pt>
                <c:pt idx="15">
                  <c:v>#N/A</c:v>
                </c:pt>
                <c:pt idx="16">
                  <c:v>1.67</c:v>
                </c:pt>
                <c:pt idx="17">
                  <c:v>#N/A</c:v>
                </c:pt>
                <c:pt idx="18">
                  <c:v>3.5</c:v>
                </c:pt>
                <c:pt idx="19">
                  <c:v>#N/A</c:v>
                </c:pt>
                <c:pt idx="20">
                  <c:v>#N/A</c:v>
                </c:pt>
                <c:pt idx="21">
                  <c:v>2.75</c:v>
                </c:pt>
                <c:pt idx="22">
                  <c:v>2.23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3</c:v>
                </c:pt>
                <c:pt idx="30">
                  <c:v>#N/A</c:v>
                </c:pt>
                <c:pt idx="31">
                  <c:v>#N/A</c:v>
                </c:pt>
                <c:pt idx="32">
                  <c:v>3</c:v>
                </c:pt>
                <c:pt idx="33">
                  <c:v>2.4500000000000002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3.07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2.6</c:v>
                </c:pt>
                <c:pt idx="52">
                  <c:v>5.2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1.5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2.4700000000000002</c:v>
                </c:pt>
                <c:pt idx="67">
                  <c:v>1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1.83</c:v>
                </c:pt>
                <c:pt idx="83">
                  <c:v>#N/A</c:v>
                </c:pt>
                <c:pt idx="84">
                  <c:v>#N/A</c:v>
                </c:pt>
                <c:pt idx="85">
                  <c:v>5.17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4</c:v>
                </c:pt>
                <c:pt idx="110">
                  <c:v>#N/A</c:v>
                </c:pt>
                <c:pt idx="111">
                  <c:v>1</c:v>
                </c:pt>
                <c:pt idx="112">
                  <c:v>#N/A</c:v>
                </c:pt>
                <c:pt idx="113">
                  <c:v>#N/A</c:v>
                </c:pt>
                <c:pt idx="114">
                  <c:v>4</c:v>
                </c:pt>
                <c:pt idx="115">
                  <c:v>3.5</c:v>
                </c:pt>
                <c:pt idx="116">
                  <c:v>#N/A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#N/A</c:v>
                </c:pt>
                <c:pt idx="121">
                  <c:v>1.68</c:v>
                </c:pt>
                <c:pt idx="122">
                  <c:v>#N/A</c:v>
                </c:pt>
                <c:pt idx="123">
                  <c:v>#N/A</c:v>
                </c:pt>
                <c:pt idx="124">
                  <c:v>2.52</c:v>
                </c:pt>
                <c:pt idx="125">
                  <c:v>4.2</c:v>
                </c:pt>
                <c:pt idx="126">
                  <c:v>#N/A</c:v>
                </c:pt>
                <c:pt idx="127">
                  <c:v>2</c:v>
                </c:pt>
                <c:pt idx="128">
                  <c:v>2</c:v>
                </c:pt>
                <c:pt idx="129">
                  <c:v>#N/A</c:v>
                </c:pt>
                <c:pt idx="130">
                  <c:v>#N/A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#N/A</c:v>
                </c:pt>
                <c:pt idx="139">
                  <c:v>2.75</c:v>
                </c:pt>
                <c:pt idx="140">
                  <c:v>3.5</c:v>
                </c:pt>
                <c:pt idx="141">
                  <c:v>#N/A</c:v>
                </c:pt>
                <c:pt idx="142">
                  <c:v>#N/A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5.14</c:v>
                </c:pt>
                <c:pt idx="156">
                  <c:v>#N/A</c:v>
                </c:pt>
                <c:pt idx="157">
                  <c:v>3.75</c:v>
                </c:pt>
                <c:pt idx="158">
                  <c:v>2.61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2</c:v>
                </c:pt>
                <c:pt idx="163">
                  <c:v>#N/A</c:v>
                </c:pt>
                <c:pt idx="164">
                  <c:v>3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1.61</c:v>
                </c:pt>
                <c:pt idx="169">
                  <c:v>2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4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3.5</c:v>
                </c:pt>
                <c:pt idx="187">
                  <c:v>#N/A</c:v>
                </c:pt>
                <c:pt idx="188">
                  <c:v>3.5</c:v>
                </c:pt>
                <c:pt idx="189">
                  <c:v>#N/A</c:v>
                </c:pt>
                <c:pt idx="190">
                  <c:v>#N/A</c:v>
                </c:pt>
                <c:pt idx="191">
                  <c:v>4.1900000000000004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5</c:v>
                </c:pt>
                <c:pt idx="198">
                  <c:v>2</c:v>
                </c:pt>
                <c:pt idx="199">
                  <c:v>#N/A</c:v>
                </c:pt>
                <c:pt idx="200">
                  <c:v>#N/A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2.5</c:v>
                </c:pt>
                <c:pt idx="204">
                  <c:v>#N/A</c:v>
                </c:pt>
                <c:pt idx="205">
                  <c:v>3.23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2.23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2.5</c:v>
                </c:pt>
                <c:pt idx="214">
                  <c:v>6.5</c:v>
                </c:pt>
                <c:pt idx="215">
                  <c:v>1.1000000000000001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3.09</c:v>
                </c:pt>
                <c:pt idx="220">
                  <c:v>#N/A</c:v>
                </c:pt>
                <c:pt idx="221">
                  <c:v>3.48</c:v>
                </c:pt>
                <c:pt idx="222">
                  <c:v>#N/A</c:v>
                </c:pt>
                <c:pt idx="223">
                  <c:v>3</c:v>
                </c:pt>
                <c:pt idx="224">
                  <c:v>#N/A</c:v>
                </c:pt>
                <c:pt idx="225">
                  <c:v>2.5</c:v>
                </c:pt>
                <c:pt idx="226">
                  <c:v>2</c:v>
                </c:pt>
                <c:pt idx="227">
                  <c:v>#N/A</c:v>
                </c:pt>
                <c:pt idx="228">
                  <c:v>#N/A</c:v>
                </c:pt>
                <c:pt idx="229">
                  <c:v>2.88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4.67</c:v>
                </c:pt>
                <c:pt idx="239">
                  <c:v>#N/A</c:v>
                </c:pt>
                <c:pt idx="240">
                  <c:v>2</c:v>
                </c:pt>
                <c:pt idx="241">
                  <c:v>#N/A</c:v>
                </c:pt>
                <c:pt idx="242">
                  <c:v>#N/A</c:v>
                </c:pt>
                <c:pt idx="24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40-453D-85C2-1E6BC89B5528}"/>
            </c:ext>
          </c:extLst>
        </c:ser>
        <c:ser>
          <c:idx val="1"/>
          <c:order val="1"/>
          <c:tx>
            <c:v>Male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Scatterplot!$K$2:$K$245</c:f>
              <c:numCache>
                <c:formatCode>General</c:formatCode>
                <c:ptCount val="244"/>
                <c:pt idx="0">
                  <c:v>#N/A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#N/A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#N/A</c:v>
                </c:pt>
                <c:pt idx="12">
                  <c:v>15.42</c:v>
                </c:pt>
                <c:pt idx="13">
                  <c:v>18.43</c:v>
                </c:pt>
                <c:pt idx="14">
                  <c:v>#N/A</c:v>
                </c:pt>
                <c:pt idx="15">
                  <c:v>21.58</c:v>
                </c:pt>
                <c:pt idx="16">
                  <c:v>#N/A</c:v>
                </c:pt>
                <c:pt idx="17">
                  <c:v>16.29</c:v>
                </c:pt>
                <c:pt idx="18">
                  <c:v>#N/A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#N/A</c:v>
                </c:pt>
                <c:pt idx="22">
                  <c:v>#N/A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#N/A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#N/A</c:v>
                </c:pt>
                <c:pt idx="33">
                  <c:v>#N/A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#N/A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#N/A</c:v>
                </c:pt>
                <c:pt idx="52">
                  <c:v>#N/A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#N/A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#N/A</c:v>
                </c:pt>
                <c:pt idx="67">
                  <c:v>#N/A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#N/A</c:v>
                </c:pt>
                <c:pt idx="83">
                  <c:v>32.68</c:v>
                </c:pt>
                <c:pt idx="84">
                  <c:v>15.98</c:v>
                </c:pt>
                <c:pt idx="85">
                  <c:v>#N/A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#N/A</c:v>
                </c:pt>
                <c:pt idx="110">
                  <c:v>14</c:v>
                </c:pt>
                <c:pt idx="111">
                  <c:v>#N/A</c:v>
                </c:pt>
                <c:pt idx="112">
                  <c:v>38.07</c:v>
                </c:pt>
                <c:pt idx="113">
                  <c:v>23.95</c:v>
                </c:pt>
                <c:pt idx="114">
                  <c:v>#N/A</c:v>
                </c:pt>
                <c:pt idx="115">
                  <c:v>#N/A</c:v>
                </c:pt>
                <c:pt idx="116">
                  <c:v>29.93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11.69</c:v>
                </c:pt>
                <c:pt idx="121">
                  <c:v>#N/A</c:v>
                </c:pt>
                <c:pt idx="122">
                  <c:v>14.26</c:v>
                </c:pt>
                <c:pt idx="123">
                  <c:v>15.95</c:v>
                </c:pt>
                <c:pt idx="124">
                  <c:v>#N/A</c:v>
                </c:pt>
                <c:pt idx="125">
                  <c:v>#N/A</c:v>
                </c:pt>
                <c:pt idx="126">
                  <c:v>8.52</c:v>
                </c:pt>
                <c:pt idx="127">
                  <c:v>#N/A</c:v>
                </c:pt>
                <c:pt idx="128">
                  <c:v>#N/A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16</c:v>
                </c:pt>
                <c:pt idx="139">
                  <c:v>#N/A</c:v>
                </c:pt>
                <c:pt idx="140">
                  <c:v>#N/A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#N/A</c:v>
                </c:pt>
                <c:pt idx="156">
                  <c:v>48.17</c:v>
                </c:pt>
                <c:pt idx="157">
                  <c:v>#N/A</c:v>
                </c:pt>
                <c:pt idx="158">
                  <c:v>#N/A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#N/A</c:v>
                </c:pt>
                <c:pt idx="163">
                  <c:v>13.81</c:v>
                </c:pt>
                <c:pt idx="164">
                  <c:v>#N/A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#N/A</c:v>
                </c:pt>
                <c:pt idx="169">
                  <c:v>#N/A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#N/A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#N/A</c:v>
                </c:pt>
                <c:pt idx="187">
                  <c:v>30.46</c:v>
                </c:pt>
                <c:pt idx="188">
                  <c:v>#N/A</c:v>
                </c:pt>
                <c:pt idx="189">
                  <c:v>23.1</c:v>
                </c:pt>
                <c:pt idx="190">
                  <c:v>15.69</c:v>
                </c:pt>
                <c:pt idx="191">
                  <c:v>#N/A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#N/A</c:v>
                </c:pt>
                <c:pt idx="198">
                  <c:v>#N/A</c:v>
                </c:pt>
                <c:pt idx="199">
                  <c:v>13.51</c:v>
                </c:pt>
                <c:pt idx="200">
                  <c:v>18.71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20.53</c:v>
                </c:pt>
                <c:pt idx="205">
                  <c:v>#N/A</c:v>
                </c:pt>
                <c:pt idx="206">
                  <c:v>26.59</c:v>
                </c:pt>
                <c:pt idx="207">
                  <c:v>38.729999999999997</c:v>
                </c:pt>
                <c:pt idx="208">
                  <c:v>24.27</c:v>
                </c:pt>
                <c:pt idx="209">
                  <c:v>#N/A</c:v>
                </c:pt>
                <c:pt idx="210">
                  <c:v>30.06</c:v>
                </c:pt>
                <c:pt idx="211">
                  <c:v>25.89</c:v>
                </c:pt>
                <c:pt idx="212">
                  <c:v>48.33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28.15</c:v>
                </c:pt>
                <c:pt idx="217">
                  <c:v>11.59</c:v>
                </c:pt>
                <c:pt idx="218">
                  <c:v>7.74</c:v>
                </c:pt>
                <c:pt idx="219">
                  <c:v>#N/A</c:v>
                </c:pt>
                <c:pt idx="220">
                  <c:v>12.16</c:v>
                </c:pt>
                <c:pt idx="221">
                  <c:v>#N/A</c:v>
                </c:pt>
                <c:pt idx="222">
                  <c:v>8.58</c:v>
                </c:pt>
                <c:pt idx="223">
                  <c:v>#N/A</c:v>
                </c:pt>
                <c:pt idx="224">
                  <c:v>13.42</c:v>
                </c:pt>
                <c:pt idx="225">
                  <c:v>#N/A</c:v>
                </c:pt>
                <c:pt idx="226">
                  <c:v>#N/A</c:v>
                </c:pt>
                <c:pt idx="227">
                  <c:v>20.45</c:v>
                </c:pt>
                <c:pt idx="228">
                  <c:v>13.28</c:v>
                </c:pt>
                <c:pt idx="229">
                  <c:v>#N/A</c:v>
                </c:pt>
                <c:pt idx="230">
                  <c:v>24.01</c:v>
                </c:pt>
                <c:pt idx="231">
                  <c:v>15.69</c:v>
                </c:pt>
                <c:pt idx="232">
                  <c:v>11.61</c:v>
                </c:pt>
                <c:pt idx="233">
                  <c:v>10.77</c:v>
                </c:pt>
                <c:pt idx="234">
                  <c:v>15.53</c:v>
                </c:pt>
                <c:pt idx="235">
                  <c:v>10.07</c:v>
                </c:pt>
                <c:pt idx="236">
                  <c:v>12.6</c:v>
                </c:pt>
                <c:pt idx="237">
                  <c:v>32.83</c:v>
                </c:pt>
                <c:pt idx="238">
                  <c:v>#N/A</c:v>
                </c:pt>
                <c:pt idx="239">
                  <c:v>29.03</c:v>
                </c:pt>
                <c:pt idx="240">
                  <c:v>#N/A</c:v>
                </c:pt>
                <c:pt idx="241">
                  <c:v>22.67</c:v>
                </c:pt>
                <c:pt idx="242">
                  <c:v>17.82</c:v>
                </c:pt>
                <c:pt idx="243">
                  <c:v>#N/A</c:v>
                </c:pt>
              </c:numCache>
            </c:numRef>
          </c:xVal>
          <c:yVal>
            <c:numRef>
              <c:f>Scatterplot!$L$3:$L$245</c:f>
              <c:numCache>
                <c:formatCode>General</c:formatCode>
                <c:ptCount val="243"/>
                <c:pt idx="0">
                  <c:v>1.66</c:v>
                </c:pt>
                <c:pt idx="1">
                  <c:v>3.5</c:v>
                </c:pt>
                <c:pt idx="2">
                  <c:v>3.31</c:v>
                </c:pt>
                <c:pt idx="3">
                  <c:v>#N/A</c:v>
                </c:pt>
                <c:pt idx="4">
                  <c:v>4.71</c:v>
                </c:pt>
                <c:pt idx="5">
                  <c:v>2</c:v>
                </c:pt>
                <c:pt idx="6">
                  <c:v>3.12</c:v>
                </c:pt>
                <c:pt idx="7">
                  <c:v>1.96</c:v>
                </c:pt>
                <c:pt idx="8">
                  <c:v>3.23</c:v>
                </c:pt>
                <c:pt idx="9">
                  <c:v>1.71</c:v>
                </c:pt>
                <c:pt idx="10">
                  <c:v>#N/A</c:v>
                </c:pt>
                <c:pt idx="11">
                  <c:v>1.57</c:v>
                </c:pt>
                <c:pt idx="12">
                  <c:v>3</c:v>
                </c:pt>
                <c:pt idx="13">
                  <c:v>#N/A</c:v>
                </c:pt>
                <c:pt idx="14">
                  <c:v>3.92</c:v>
                </c:pt>
                <c:pt idx="15">
                  <c:v>#N/A</c:v>
                </c:pt>
                <c:pt idx="16">
                  <c:v>3.71</c:v>
                </c:pt>
                <c:pt idx="17">
                  <c:v>#N/A</c:v>
                </c:pt>
                <c:pt idx="18">
                  <c:v>3.35</c:v>
                </c:pt>
                <c:pt idx="19">
                  <c:v>4.08</c:v>
                </c:pt>
                <c:pt idx="20">
                  <c:v>#N/A</c:v>
                </c:pt>
                <c:pt idx="21">
                  <c:v>#N/A</c:v>
                </c:pt>
                <c:pt idx="22">
                  <c:v>7.58</c:v>
                </c:pt>
                <c:pt idx="23">
                  <c:v>3.18</c:v>
                </c:pt>
                <c:pt idx="24">
                  <c:v>2.34</c:v>
                </c:pt>
                <c:pt idx="25">
                  <c:v>2</c:v>
                </c:pt>
                <c:pt idx="26">
                  <c:v>2</c:v>
                </c:pt>
                <c:pt idx="27">
                  <c:v>4.3</c:v>
                </c:pt>
                <c:pt idx="28">
                  <c:v>#N/A</c:v>
                </c:pt>
                <c:pt idx="29">
                  <c:v>1.45</c:v>
                </c:pt>
                <c:pt idx="30">
                  <c:v>2.5</c:v>
                </c:pt>
                <c:pt idx="31">
                  <c:v>#N/A</c:v>
                </c:pt>
                <c:pt idx="32">
                  <c:v>#N/A</c:v>
                </c:pt>
                <c:pt idx="33">
                  <c:v>3.27</c:v>
                </c:pt>
                <c:pt idx="34">
                  <c:v>3.6</c:v>
                </c:pt>
                <c:pt idx="35">
                  <c:v>2</c:v>
                </c:pt>
                <c:pt idx="36">
                  <c:v>#N/A</c:v>
                </c:pt>
                <c:pt idx="37">
                  <c:v>2.31</c:v>
                </c:pt>
                <c:pt idx="38">
                  <c:v>5</c:v>
                </c:pt>
                <c:pt idx="39">
                  <c:v>2.2400000000000002</c:v>
                </c:pt>
                <c:pt idx="40">
                  <c:v>2.54</c:v>
                </c:pt>
                <c:pt idx="41">
                  <c:v>3.06</c:v>
                </c:pt>
                <c:pt idx="42">
                  <c:v>1.32</c:v>
                </c:pt>
                <c:pt idx="43">
                  <c:v>5.6</c:v>
                </c:pt>
                <c:pt idx="44">
                  <c:v>3</c:v>
                </c:pt>
                <c:pt idx="45">
                  <c:v>5</c:v>
                </c:pt>
                <c:pt idx="46">
                  <c:v>6</c:v>
                </c:pt>
                <c:pt idx="47">
                  <c:v>2.0499999999999998</c:v>
                </c:pt>
                <c:pt idx="48">
                  <c:v>3</c:v>
                </c:pt>
                <c:pt idx="49">
                  <c:v>2.5</c:v>
                </c:pt>
                <c:pt idx="50">
                  <c:v>#N/A</c:v>
                </c:pt>
                <c:pt idx="51">
                  <c:v>#N/A</c:v>
                </c:pt>
                <c:pt idx="52">
                  <c:v>1.56</c:v>
                </c:pt>
                <c:pt idx="53">
                  <c:v>4.34</c:v>
                </c:pt>
                <c:pt idx="54">
                  <c:v>3.51</c:v>
                </c:pt>
                <c:pt idx="55">
                  <c:v>3</c:v>
                </c:pt>
                <c:pt idx="56">
                  <c:v>#N/A</c:v>
                </c:pt>
                <c:pt idx="57">
                  <c:v>1.76</c:v>
                </c:pt>
                <c:pt idx="58">
                  <c:v>6.73</c:v>
                </c:pt>
                <c:pt idx="59">
                  <c:v>3.21</c:v>
                </c:pt>
                <c:pt idx="60">
                  <c:v>2</c:v>
                </c:pt>
                <c:pt idx="61">
                  <c:v>1.98</c:v>
                </c:pt>
                <c:pt idx="62">
                  <c:v>3.76</c:v>
                </c:pt>
                <c:pt idx="63">
                  <c:v>2.64</c:v>
                </c:pt>
                <c:pt idx="64">
                  <c:v>3.15</c:v>
                </c:pt>
                <c:pt idx="65">
                  <c:v>#N/A</c:v>
                </c:pt>
                <c:pt idx="66">
                  <c:v>#N/A</c:v>
                </c:pt>
                <c:pt idx="67">
                  <c:v>2.0099999999999998</c:v>
                </c:pt>
                <c:pt idx="68">
                  <c:v>2.09</c:v>
                </c:pt>
                <c:pt idx="69">
                  <c:v>1.97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1.25</c:v>
                </c:pt>
                <c:pt idx="75">
                  <c:v>3.08</c:v>
                </c:pt>
                <c:pt idx="76">
                  <c:v>4</c:v>
                </c:pt>
                <c:pt idx="77">
                  <c:v>3</c:v>
                </c:pt>
                <c:pt idx="78">
                  <c:v>2.71</c:v>
                </c:pt>
                <c:pt idx="79">
                  <c:v>3</c:v>
                </c:pt>
                <c:pt idx="80">
                  <c:v>3.4</c:v>
                </c:pt>
                <c:pt idx="81">
                  <c:v>#N/A</c:v>
                </c:pt>
                <c:pt idx="82">
                  <c:v>5</c:v>
                </c:pt>
                <c:pt idx="83">
                  <c:v>2.0299999999999998</c:v>
                </c:pt>
                <c:pt idx="84">
                  <c:v>#N/A</c:v>
                </c:pt>
                <c:pt idx="85">
                  <c:v>2</c:v>
                </c:pt>
                <c:pt idx="86">
                  <c:v>4</c:v>
                </c:pt>
                <c:pt idx="87">
                  <c:v>5.85</c:v>
                </c:pt>
                <c:pt idx="88">
                  <c:v>3</c:v>
                </c:pt>
                <c:pt idx="89">
                  <c:v>3</c:v>
                </c:pt>
                <c:pt idx="90">
                  <c:v>3.5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4.7300000000000004</c:v>
                </c:pt>
                <c:pt idx="95">
                  <c:v>4</c:v>
                </c:pt>
                <c:pt idx="96">
                  <c:v>1.5</c:v>
                </c:pt>
                <c:pt idx="97">
                  <c:v>3</c:v>
                </c:pt>
                <c:pt idx="98">
                  <c:v>1.5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1.64</c:v>
                </c:pt>
                <c:pt idx="105">
                  <c:v>4.0599999999999996</c:v>
                </c:pt>
                <c:pt idx="106">
                  <c:v>4.29</c:v>
                </c:pt>
                <c:pt idx="107">
                  <c:v>3.76</c:v>
                </c:pt>
                <c:pt idx="108">
                  <c:v>#N/A</c:v>
                </c:pt>
                <c:pt idx="109">
                  <c:v>3</c:v>
                </c:pt>
                <c:pt idx="110">
                  <c:v>#N/A</c:v>
                </c:pt>
                <c:pt idx="111">
                  <c:v>4</c:v>
                </c:pt>
                <c:pt idx="112">
                  <c:v>2.5499999999999998</c:v>
                </c:pt>
                <c:pt idx="113">
                  <c:v>#N/A</c:v>
                </c:pt>
                <c:pt idx="114">
                  <c:v>#N/A</c:v>
                </c:pt>
                <c:pt idx="115">
                  <c:v>5.07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2.31</c:v>
                </c:pt>
                <c:pt idx="120">
                  <c:v>#N/A</c:v>
                </c:pt>
                <c:pt idx="121">
                  <c:v>2.5</c:v>
                </c:pt>
                <c:pt idx="122">
                  <c:v>2</c:v>
                </c:pt>
                <c:pt idx="123">
                  <c:v>#N/A</c:v>
                </c:pt>
                <c:pt idx="124">
                  <c:v>#N/A</c:v>
                </c:pt>
                <c:pt idx="125">
                  <c:v>1.48</c:v>
                </c:pt>
                <c:pt idx="126">
                  <c:v>#N/A</c:v>
                </c:pt>
                <c:pt idx="127">
                  <c:v>#N/A</c:v>
                </c:pt>
                <c:pt idx="128">
                  <c:v>2.1800000000000002</c:v>
                </c:pt>
                <c:pt idx="129">
                  <c:v>1.5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#N/A</c:v>
                </c:pt>
                <c:pt idx="139">
                  <c:v>#N/A</c:v>
                </c:pt>
                <c:pt idx="140">
                  <c:v>6.7</c:v>
                </c:pt>
                <c:pt idx="141">
                  <c:v>5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1.73</c:v>
                </c:pt>
                <c:pt idx="148">
                  <c:v>2</c:v>
                </c:pt>
                <c:pt idx="149">
                  <c:v>2.5</c:v>
                </c:pt>
                <c:pt idx="150">
                  <c:v>2</c:v>
                </c:pt>
                <c:pt idx="151">
                  <c:v>2.74</c:v>
                </c:pt>
                <c:pt idx="152">
                  <c:v>2</c:v>
                </c:pt>
                <c:pt idx="153">
                  <c:v>2</c:v>
                </c:pt>
                <c:pt idx="154">
                  <c:v>#N/A</c:v>
                </c:pt>
                <c:pt idx="155">
                  <c:v>5</c:v>
                </c:pt>
                <c:pt idx="156">
                  <c:v>#N/A</c:v>
                </c:pt>
                <c:pt idx="157">
                  <c:v>#N/A</c:v>
                </c:pt>
                <c:pt idx="158">
                  <c:v>2</c:v>
                </c:pt>
                <c:pt idx="159">
                  <c:v>3.5</c:v>
                </c:pt>
                <c:pt idx="160">
                  <c:v>2.5</c:v>
                </c:pt>
                <c:pt idx="161">
                  <c:v>#N/A</c:v>
                </c:pt>
                <c:pt idx="162">
                  <c:v>2</c:v>
                </c:pt>
                <c:pt idx="163">
                  <c:v>#N/A</c:v>
                </c:pt>
                <c:pt idx="164">
                  <c:v>3.48</c:v>
                </c:pt>
                <c:pt idx="165">
                  <c:v>2.2400000000000002</c:v>
                </c:pt>
                <c:pt idx="166">
                  <c:v>4.5</c:v>
                </c:pt>
                <c:pt idx="167">
                  <c:v>#N/A</c:v>
                </c:pt>
                <c:pt idx="168">
                  <c:v>#N/A</c:v>
                </c:pt>
                <c:pt idx="169">
                  <c:v>10</c:v>
                </c:pt>
                <c:pt idx="170">
                  <c:v>3.16</c:v>
                </c:pt>
                <c:pt idx="171">
                  <c:v>5.15</c:v>
                </c:pt>
                <c:pt idx="172">
                  <c:v>3.18</c:v>
                </c:pt>
                <c:pt idx="173">
                  <c:v>4</c:v>
                </c:pt>
                <c:pt idx="174">
                  <c:v>3.11</c:v>
                </c:pt>
                <c:pt idx="175">
                  <c:v>2</c:v>
                </c:pt>
                <c:pt idx="176">
                  <c:v>2</c:v>
                </c:pt>
                <c:pt idx="177">
                  <c:v>#N/A</c:v>
                </c:pt>
                <c:pt idx="178">
                  <c:v>3.55</c:v>
                </c:pt>
                <c:pt idx="179">
                  <c:v>3.68</c:v>
                </c:pt>
                <c:pt idx="180">
                  <c:v>5.65</c:v>
                </c:pt>
                <c:pt idx="181">
                  <c:v>3.5</c:v>
                </c:pt>
                <c:pt idx="182">
                  <c:v>6.5</c:v>
                </c:pt>
                <c:pt idx="183">
                  <c:v>3</c:v>
                </c:pt>
                <c:pt idx="184">
                  <c:v>5</c:v>
                </c:pt>
                <c:pt idx="185">
                  <c:v>#N/A</c:v>
                </c:pt>
                <c:pt idx="186">
                  <c:v>2</c:v>
                </c:pt>
                <c:pt idx="187">
                  <c:v>#N/A</c:v>
                </c:pt>
                <c:pt idx="188">
                  <c:v>4</c:v>
                </c:pt>
                <c:pt idx="189">
                  <c:v>1.5</c:v>
                </c:pt>
                <c:pt idx="190">
                  <c:v>#N/A</c:v>
                </c:pt>
                <c:pt idx="191">
                  <c:v>2.56</c:v>
                </c:pt>
                <c:pt idx="192">
                  <c:v>2.02</c:v>
                </c:pt>
                <c:pt idx="193">
                  <c:v>4</c:v>
                </c:pt>
                <c:pt idx="194">
                  <c:v>1.44</c:v>
                </c:pt>
                <c:pt idx="195">
                  <c:v>2</c:v>
                </c:pt>
                <c:pt idx="196">
                  <c:v>#N/A</c:v>
                </c:pt>
                <c:pt idx="197">
                  <c:v>#N/A</c:v>
                </c:pt>
                <c:pt idx="198">
                  <c:v>2</c:v>
                </c:pt>
                <c:pt idx="199">
                  <c:v>4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4</c:v>
                </c:pt>
                <c:pt idx="204">
                  <c:v>#N/A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#N/A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#N/A</c:v>
                </c:pt>
                <c:pt idx="219">
                  <c:v>2.2000000000000002</c:v>
                </c:pt>
                <c:pt idx="220">
                  <c:v>#N/A</c:v>
                </c:pt>
                <c:pt idx="221">
                  <c:v>1.92</c:v>
                </c:pt>
                <c:pt idx="222">
                  <c:v>#N/A</c:v>
                </c:pt>
                <c:pt idx="223">
                  <c:v>1.58</c:v>
                </c:pt>
                <c:pt idx="224">
                  <c:v>#N/A</c:v>
                </c:pt>
                <c:pt idx="225">
                  <c:v>#N/A</c:v>
                </c:pt>
                <c:pt idx="226">
                  <c:v>3</c:v>
                </c:pt>
                <c:pt idx="227">
                  <c:v>2.72</c:v>
                </c:pt>
                <c:pt idx="228">
                  <c:v>#N/A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#N/A</c:v>
                </c:pt>
                <c:pt idx="238">
                  <c:v>5.92</c:v>
                </c:pt>
                <c:pt idx="239">
                  <c:v>#N/A</c:v>
                </c:pt>
                <c:pt idx="240">
                  <c:v>2</c:v>
                </c:pt>
                <c:pt idx="241">
                  <c:v>1.75</c:v>
                </c:pt>
                <c:pt idx="24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D40-453D-85C2-1E6BC89B5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87872"/>
        <c:axId val="610028648"/>
      </c:scatterChart>
      <c:valAx>
        <c:axId val="66678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Total_Bill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28648"/>
        <c:crosses val="autoZero"/>
        <c:crossBetween val="midCat"/>
      </c:valAx>
      <c:valAx>
        <c:axId val="6100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87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[tips_cleanedexcel.xlsx]BarChart!PivotTable1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BarChart!$B$3:$B$4</c:f>
              <c:strCache>
                <c:ptCount val="1"/>
                <c:pt idx="0">
                  <c:v>Lunch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BarChart!$A$5:$A$9</c:f>
              <c:strCache>
                <c:ptCount val="4"/>
                <c:pt idx="0">
                  <c:v>Fri</c:v>
                </c:pt>
                <c:pt idx="1">
                  <c:v>Sun</c:v>
                </c:pt>
                <c:pt idx="2">
                  <c:v>Thur</c:v>
                </c:pt>
                <c:pt idx="3">
                  <c:v>Sat</c:v>
                </c:pt>
              </c:strCache>
            </c:strRef>
          </c:cat>
          <c:val>
            <c:numRef>
              <c:f>BarChart!$B$5:$B$9</c:f>
              <c:numCache>
                <c:formatCode>General</c:formatCode>
                <c:ptCount val="4"/>
                <c:pt idx="0">
                  <c:v>18.876488829484288</c:v>
                </c:pt>
                <c:pt idx="2">
                  <c:v>16.13007360161706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5-41AB-AAE0-655E4A7C4772}"/>
            </c:ext>
          </c:extLst>
        </c:ser>
        <c:ser>
          <c:idx val="1"/>
          <c:order val="1"/>
          <c:tx>
            <c:strRef>
              <c:f>BarChart!$C$3:$C$4</c:f>
              <c:strCache>
                <c:ptCount val="1"/>
                <c:pt idx="0">
                  <c:v>Dinner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BarChart!$A$5:$A$9</c:f>
              <c:strCache>
                <c:ptCount val="4"/>
                <c:pt idx="0">
                  <c:v>Fri</c:v>
                </c:pt>
                <c:pt idx="1">
                  <c:v>Sun</c:v>
                </c:pt>
                <c:pt idx="2">
                  <c:v>Thur</c:v>
                </c:pt>
                <c:pt idx="3">
                  <c:v>Sat</c:v>
                </c:pt>
              </c:strCache>
            </c:strRef>
          </c:cat>
          <c:val>
            <c:numRef>
              <c:f>BarChart!$C$5:$C$9</c:f>
              <c:numCache>
                <c:formatCode>General</c:formatCode>
                <c:ptCount val="4"/>
                <c:pt idx="0">
                  <c:v>15.891611065601566</c:v>
                </c:pt>
                <c:pt idx="1">
                  <c:v>16.689728635113415</c:v>
                </c:pt>
                <c:pt idx="2">
                  <c:v>15.9744408945686</c:v>
                </c:pt>
                <c:pt idx="3">
                  <c:v>15.315171638777773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5-41AB-AAE0-655E4A7C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910168"/>
        <c:axId val="601912464"/>
      </c:barChart>
      <c:catAx>
        <c:axId val="60191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12464"/>
        <c:crosses val="autoZero"/>
        <c:auto val="1"/>
        <c:lblAlgn val="ctr"/>
        <c:lblOffset val="100"/>
        <c:noMultiLvlLbl val="0"/>
      </c:catAx>
      <c:valAx>
        <c:axId val="6019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1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[tips_cleanedexcel.xlsx]PieChart!PivotTable2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3413613298337707"/>
          <c:y val="0.28403647091502449"/>
          <c:w val="0.4361721784776903"/>
          <c:h val="0.61528970444393838"/>
        </c:manualLayout>
      </c:layout>
      <c:pieChart>
        <c:varyColors val="1"/>
        <c:ser>
          <c:idx val="0"/>
          <c:order val="0"/>
          <c:tx>
            <c:strRef>
              <c:f>PieChart!$B$3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5E-440D-BFDF-EFBDF6762116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5E-440D-BFDF-EFBDF6762116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55E-440D-BFDF-EFBDF6762116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55E-440D-BFDF-EFBDF6762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PieChart!$A$4:$A$5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PieChart!$B$4:$B$5</c:f>
              <c:numCache>
                <c:formatCode>General</c:formatCode>
                <c:ptCount val="2"/>
                <c:pt idx="0">
                  <c:v>151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5E-440D-BFDF-EFBDF6762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Bill vs. Tip by Gender</a:t>
            </a:r>
          </a:p>
        </c:rich>
      </c:tx>
      <c:layout>
        <c:manualLayout>
          <c:xMode val="edge"/>
          <c:yMode val="edge"/>
          <c:x val="0.31663188976377959"/>
          <c:y val="2.3426057892490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Female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Scatterplot!$I$2:$I$245</c:f>
              <c:numCache>
                <c:formatCode>General</c:formatCode>
                <c:ptCount val="244"/>
                <c:pt idx="0">
                  <c:v>16.989999999999998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24.59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35.26</c:v>
                </c:pt>
                <c:pt idx="12">
                  <c:v>#N/A</c:v>
                </c:pt>
                <c:pt idx="13">
                  <c:v>#N/A</c:v>
                </c:pt>
                <c:pt idx="14">
                  <c:v>14.83</c:v>
                </c:pt>
                <c:pt idx="15">
                  <c:v>#N/A</c:v>
                </c:pt>
                <c:pt idx="16">
                  <c:v>10.33</c:v>
                </c:pt>
                <c:pt idx="17">
                  <c:v>#N/A</c:v>
                </c:pt>
                <c:pt idx="18">
                  <c:v>16.97</c:v>
                </c:pt>
                <c:pt idx="19">
                  <c:v>#N/A</c:v>
                </c:pt>
                <c:pt idx="20">
                  <c:v>#N/A</c:v>
                </c:pt>
                <c:pt idx="21">
                  <c:v>20.29</c:v>
                </c:pt>
                <c:pt idx="22">
                  <c:v>15.77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19.649999999999999</c:v>
                </c:pt>
                <c:pt idx="30">
                  <c:v>#N/A</c:v>
                </c:pt>
                <c:pt idx="31">
                  <c:v>#N/A</c:v>
                </c:pt>
                <c:pt idx="32">
                  <c:v>15.06</c:v>
                </c:pt>
                <c:pt idx="33">
                  <c:v>20.69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16.93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10.29</c:v>
                </c:pt>
                <c:pt idx="52">
                  <c:v>34.81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26.41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16.45</c:v>
                </c:pt>
                <c:pt idx="67">
                  <c:v>3.07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10.07</c:v>
                </c:pt>
                <c:pt idx="83">
                  <c:v>#N/A</c:v>
                </c:pt>
                <c:pt idx="84">
                  <c:v>#N/A</c:v>
                </c:pt>
                <c:pt idx="85">
                  <c:v>34.83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14.31</c:v>
                </c:pt>
                <c:pt idx="110">
                  <c:v>#N/A</c:v>
                </c:pt>
                <c:pt idx="111">
                  <c:v>7.25</c:v>
                </c:pt>
                <c:pt idx="112">
                  <c:v>#N/A</c:v>
                </c:pt>
                <c:pt idx="113">
                  <c:v>#N/A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#N/A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#N/A</c:v>
                </c:pt>
                <c:pt idx="121">
                  <c:v>13.42</c:v>
                </c:pt>
                <c:pt idx="122">
                  <c:v>#N/A</c:v>
                </c:pt>
                <c:pt idx="123">
                  <c:v>#N/A</c:v>
                </c:pt>
                <c:pt idx="124">
                  <c:v>12.48</c:v>
                </c:pt>
                <c:pt idx="125">
                  <c:v>29.8</c:v>
                </c:pt>
                <c:pt idx="126">
                  <c:v>#N/A</c:v>
                </c:pt>
                <c:pt idx="127">
                  <c:v>14.52</c:v>
                </c:pt>
                <c:pt idx="128">
                  <c:v>11.38</c:v>
                </c:pt>
                <c:pt idx="129">
                  <c:v>#N/A</c:v>
                </c:pt>
                <c:pt idx="130">
                  <c:v>#N/A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#N/A</c:v>
                </c:pt>
                <c:pt idx="139">
                  <c:v>13.16</c:v>
                </c:pt>
                <c:pt idx="140">
                  <c:v>17.47</c:v>
                </c:pt>
                <c:pt idx="141">
                  <c:v>#N/A</c:v>
                </c:pt>
                <c:pt idx="142">
                  <c:v>#N/A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29.85</c:v>
                </c:pt>
                <c:pt idx="156">
                  <c:v>#N/A</c:v>
                </c:pt>
                <c:pt idx="157">
                  <c:v>25</c:v>
                </c:pt>
                <c:pt idx="158">
                  <c:v>13.39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16.21</c:v>
                </c:pt>
                <c:pt idx="163">
                  <c:v>#N/A</c:v>
                </c:pt>
                <c:pt idx="164">
                  <c:v>17.510000000000002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10.59</c:v>
                </c:pt>
                <c:pt idx="169">
                  <c:v>10.63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9.6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20.9</c:v>
                </c:pt>
                <c:pt idx="187">
                  <c:v>#N/A</c:v>
                </c:pt>
                <c:pt idx="188">
                  <c:v>18.149999999999999</c:v>
                </c:pt>
                <c:pt idx="189">
                  <c:v>#N/A</c:v>
                </c:pt>
                <c:pt idx="190">
                  <c:v>#N/A</c:v>
                </c:pt>
                <c:pt idx="191">
                  <c:v>19.809999999999999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43.11</c:v>
                </c:pt>
                <c:pt idx="198">
                  <c:v>13</c:v>
                </c:pt>
                <c:pt idx="199">
                  <c:v>#N/A</c:v>
                </c:pt>
                <c:pt idx="200">
                  <c:v>#N/A</c:v>
                </c:pt>
                <c:pt idx="201">
                  <c:v>12.74</c:v>
                </c:pt>
                <c:pt idx="202">
                  <c:v>13</c:v>
                </c:pt>
                <c:pt idx="203">
                  <c:v>16.399999999999999</c:v>
                </c:pt>
                <c:pt idx="204">
                  <c:v>#N/A</c:v>
                </c:pt>
                <c:pt idx="205">
                  <c:v>16.47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12.76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13.27</c:v>
                </c:pt>
                <c:pt idx="214">
                  <c:v>28.17</c:v>
                </c:pt>
                <c:pt idx="215">
                  <c:v>12.9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30.14</c:v>
                </c:pt>
                <c:pt idx="220">
                  <c:v>#N/A</c:v>
                </c:pt>
                <c:pt idx="221">
                  <c:v>13.42</c:v>
                </c:pt>
                <c:pt idx="222">
                  <c:v>#N/A</c:v>
                </c:pt>
                <c:pt idx="223">
                  <c:v>15.98</c:v>
                </c:pt>
                <c:pt idx="224">
                  <c:v>#N/A</c:v>
                </c:pt>
                <c:pt idx="225">
                  <c:v>16.27</c:v>
                </c:pt>
                <c:pt idx="226">
                  <c:v>10.09</c:v>
                </c:pt>
                <c:pt idx="227">
                  <c:v>#N/A</c:v>
                </c:pt>
                <c:pt idx="228">
                  <c:v>#N/A</c:v>
                </c:pt>
                <c:pt idx="229">
                  <c:v>22.12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35.83</c:v>
                </c:pt>
                <c:pt idx="239">
                  <c:v>#N/A</c:v>
                </c:pt>
                <c:pt idx="240">
                  <c:v>27.18</c:v>
                </c:pt>
                <c:pt idx="241">
                  <c:v>#N/A</c:v>
                </c:pt>
                <c:pt idx="242">
                  <c:v>#N/A</c:v>
                </c:pt>
                <c:pt idx="243">
                  <c:v>18.78</c:v>
                </c:pt>
              </c:numCache>
            </c:numRef>
          </c:xVal>
          <c:yVal>
            <c:numRef>
              <c:f>Scatterplot!$J$2:$J$245</c:f>
              <c:numCache>
                <c:formatCode>General</c:formatCode>
                <c:ptCount val="244"/>
                <c:pt idx="0">
                  <c:v>1.01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3.61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5</c:v>
                </c:pt>
                <c:pt idx="12">
                  <c:v>#N/A</c:v>
                </c:pt>
                <c:pt idx="13">
                  <c:v>#N/A</c:v>
                </c:pt>
                <c:pt idx="14">
                  <c:v>3.02</c:v>
                </c:pt>
                <c:pt idx="15">
                  <c:v>#N/A</c:v>
                </c:pt>
                <c:pt idx="16">
                  <c:v>1.67</c:v>
                </c:pt>
                <c:pt idx="17">
                  <c:v>#N/A</c:v>
                </c:pt>
                <c:pt idx="18">
                  <c:v>3.5</c:v>
                </c:pt>
                <c:pt idx="19">
                  <c:v>#N/A</c:v>
                </c:pt>
                <c:pt idx="20">
                  <c:v>#N/A</c:v>
                </c:pt>
                <c:pt idx="21">
                  <c:v>2.75</c:v>
                </c:pt>
                <c:pt idx="22">
                  <c:v>2.23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3</c:v>
                </c:pt>
                <c:pt idx="30">
                  <c:v>#N/A</c:v>
                </c:pt>
                <c:pt idx="31">
                  <c:v>#N/A</c:v>
                </c:pt>
                <c:pt idx="32">
                  <c:v>3</c:v>
                </c:pt>
                <c:pt idx="33">
                  <c:v>2.4500000000000002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3.07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2.6</c:v>
                </c:pt>
                <c:pt idx="52">
                  <c:v>5.2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1.5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2.4700000000000002</c:v>
                </c:pt>
                <c:pt idx="67">
                  <c:v>1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1.83</c:v>
                </c:pt>
                <c:pt idx="83">
                  <c:v>#N/A</c:v>
                </c:pt>
                <c:pt idx="84">
                  <c:v>#N/A</c:v>
                </c:pt>
                <c:pt idx="85">
                  <c:v>5.17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4</c:v>
                </c:pt>
                <c:pt idx="110">
                  <c:v>#N/A</c:v>
                </c:pt>
                <c:pt idx="111">
                  <c:v>1</c:v>
                </c:pt>
                <c:pt idx="112">
                  <c:v>#N/A</c:v>
                </c:pt>
                <c:pt idx="113">
                  <c:v>#N/A</c:v>
                </c:pt>
                <c:pt idx="114">
                  <c:v>4</c:v>
                </c:pt>
                <c:pt idx="115">
                  <c:v>3.5</c:v>
                </c:pt>
                <c:pt idx="116">
                  <c:v>#N/A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#N/A</c:v>
                </c:pt>
                <c:pt idx="121">
                  <c:v>1.68</c:v>
                </c:pt>
                <c:pt idx="122">
                  <c:v>#N/A</c:v>
                </c:pt>
                <c:pt idx="123">
                  <c:v>#N/A</c:v>
                </c:pt>
                <c:pt idx="124">
                  <c:v>2.52</c:v>
                </c:pt>
                <c:pt idx="125">
                  <c:v>4.2</c:v>
                </c:pt>
                <c:pt idx="126">
                  <c:v>#N/A</c:v>
                </c:pt>
                <c:pt idx="127">
                  <c:v>2</c:v>
                </c:pt>
                <c:pt idx="128">
                  <c:v>2</c:v>
                </c:pt>
                <c:pt idx="129">
                  <c:v>#N/A</c:v>
                </c:pt>
                <c:pt idx="130">
                  <c:v>#N/A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#N/A</c:v>
                </c:pt>
                <c:pt idx="139">
                  <c:v>2.75</c:v>
                </c:pt>
                <c:pt idx="140">
                  <c:v>3.5</c:v>
                </c:pt>
                <c:pt idx="141">
                  <c:v>#N/A</c:v>
                </c:pt>
                <c:pt idx="142">
                  <c:v>#N/A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5.14</c:v>
                </c:pt>
                <c:pt idx="156">
                  <c:v>#N/A</c:v>
                </c:pt>
                <c:pt idx="157">
                  <c:v>3.75</c:v>
                </c:pt>
                <c:pt idx="158">
                  <c:v>2.61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2</c:v>
                </c:pt>
                <c:pt idx="163">
                  <c:v>#N/A</c:v>
                </c:pt>
                <c:pt idx="164">
                  <c:v>3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1.61</c:v>
                </c:pt>
                <c:pt idx="169">
                  <c:v>2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4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3.5</c:v>
                </c:pt>
                <c:pt idx="187">
                  <c:v>#N/A</c:v>
                </c:pt>
                <c:pt idx="188">
                  <c:v>3.5</c:v>
                </c:pt>
                <c:pt idx="189">
                  <c:v>#N/A</c:v>
                </c:pt>
                <c:pt idx="190">
                  <c:v>#N/A</c:v>
                </c:pt>
                <c:pt idx="191">
                  <c:v>4.1900000000000004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5</c:v>
                </c:pt>
                <c:pt idx="198">
                  <c:v>2</c:v>
                </c:pt>
                <c:pt idx="199">
                  <c:v>#N/A</c:v>
                </c:pt>
                <c:pt idx="200">
                  <c:v>#N/A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2.5</c:v>
                </c:pt>
                <c:pt idx="204">
                  <c:v>#N/A</c:v>
                </c:pt>
                <c:pt idx="205">
                  <c:v>3.23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2.23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2.5</c:v>
                </c:pt>
                <c:pt idx="214">
                  <c:v>6.5</c:v>
                </c:pt>
                <c:pt idx="215">
                  <c:v>1.1000000000000001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3.09</c:v>
                </c:pt>
                <c:pt idx="220">
                  <c:v>#N/A</c:v>
                </c:pt>
                <c:pt idx="221">
                  <c:v>3.48</c:v>
                </c:pt>
                <c:pt idx="222">
                  <c:v>#N/A</c:v>
                </c:pt>
                <c:pt idx="223">
                  <c:v>3</c:v>
                </c:pt>
                <c:pt idx="224">
                  <c:v>#N/A</c:v>
                </c:pt>
                <c:pt idx="225">
                  <c:v>2.5</c:v>
                </c:pt>
                <c:pt idx="226">
                  <c:v>2</c:v>
                </c:pt>
                <c:pt idx="227">
                  <c:v>#N/A</c:v>
                </c:pt>
                <c:pt idx="228">
                  <c:v>#N/A</c:v>
                </c:pt>
                <c:pt idx="229">
                  <c:v>2.88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4.67</c:v>
                </c:pt>
                <c:pt idx="239">
                  <c:v>#N/A</c:v>
                </c:pt>
                <c:pt idx="240">
                  <c:v>2</c:v>
                </c:pt>
                <c:pt idx="241">
                  <c:v>#N/A</c:v>
                </c:pt>
                <c:pt idx="242">
                  <c:v>#N/A</c:v>
                </c:pt>
                <c:pt idx="24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7-4B4F-BD6A-2334E1F9485F}"/>
            </c:ext>
          </c:extLst>
        </c:ser>
        <c:ser>
          <c:idx val="1"/>
          <c:order val="1"/>
          <c:tx>
            <c:v>Male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xVal>
            <c:numRef>
              <c:f>Scatterplot!$K$2:$K$245</c:f>
              <c:numCache>
                <c:formatCode>General</c:formatCode>
                <c:ptCount val="244"/>
                <c:pt idx="0">
                  <c:v>#N/A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#N/A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#N/A</c:v>
                </c:pt>
                <c:pt idx="12">
                  <c:v>15.42</c:v>
                </c:pt>
                <c:pt idx="13">
                  <c:v>18.43</c:v>
                </c:pt>
                <c:pt idx="14">
                  <c:v>#N/A</c:v>
                </c:pt>
                <c:pt idx="15">
                  <c:v>21.58</c:v>
                </c:pt>
                <c:pt idx="16">
                  <c:v>#N/A</c:v>
                </c:pt>
                <c:pt idx="17">
                  <c:v>16.29</c:v>
                </c:pt>
                <c:pt idx="18">
                  <c:v>#N/A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#N/A</c:v>
                </c:pt>
                <c:pt idx="22">
                  <c:v>#N/A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#N/A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#N/A</c:v>
                </c:pt>
                <c:pt idx="33">
                  <c:v>#N/A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#N/A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#N/A</c:v>
                </c:pt>
                <c:pt idx="52">
                  <c:v>#N/A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#N/A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#N/A</c:v>
                </c:pt>
                <c:pt idx="67">
                  <c:v>#N/A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#N/A</c:v>
                </c:pt>
                <c:pt idx="83">
                  <c:v>32.68</c:v>
                </c:pt>
                <c:pt idx="84">
                  <c:v>15.98</c:v>
                </c:pt>
                <c:pt idx="85">
                  <c:v>#N/A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#N/A</c:v>
                </c:pt>
                <c:pt idx="110">
                  <c:v>14</c:v>
                </c:pt>
                <c:pt idx="111">
                  <c:v>#N/A</c:v>
                </c:pt>
                <c:pt idx="112">
                  <c:v>38.07</c:v>
                </c:pt>
                <c:pt idx="113">
                  <c:v>23.95</c:v>
                </c:pt>
                <c:pt idx="114">
                  <c:v>#N/A</c:v>
                </c:pt>
                <c:pt idx="115">
                  <c:v>#N/A</c:v>
                </c:pt>
                <c:pt idx="116">
                  <c:v>29.93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11.69</c:v>
                </c:pt>
                <c:pt idx="121">
                  <c:v>#N/A</c:v>
                </c:pt>
                <c:pt idx="122">
                  <c:v>14.26</c:v>
                </c:pt>
                <c:pt idx="123">
                  <c:v>15.95</c:v>
                </c:pt>
                <c:pt idx="124">
                  <c:v>#N/A</c:v>
                </c:pt>
                <c:pt idx="125">
                  <c:v>#N/A</c:v>
                </c:pt>
                <c:pt idx="126">
                  <c:v>8.52</c:v>
                </c:pt>
                <c:pt idx="127">
                  <c:v>#N/A</c:v>
                </c:pt>
                <c:pt idx="128">
                  <c:v>#N/A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16</c:v>
                </c:pt>
                <c:pt idx="139">
                  <c:v>#N/A</c:v>
                </c:pt>
                <c:pt idx="140">
                  <c:v>#N/A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#N/A</c:v>
                </c:pt>
                <c:pt idx="156">
                  <c:v>48.17</c:v>
                </c:pt>
                <c:pt idx="157">
                  <c:v>#N/A</c:v>
                </c:pt>
                <c:pt idx="158">
                  <c:v>#N/A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#N/A</c:v>
                </c:pt>
                <c:pt idx="163">
                  <c:v>13.81</c:v>
                </c:pt>
                <c:pt idx="164">
                  <c:v>#N/A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#N/A</c:v>
                </c:pt>
                <c:pt idx="169">
                  <c:v>#N/A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#N/A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#N/A</c:v>
                </c:pt>
                <c:pt idx="187">
                  <c:v>30.46</c:v>
                </c:pt>
                <c:pt idx="188">
                  <c:v>#N/A</c:v>
                </c:pt>
                <c:pt idx="189">
                  <c:v>23.1</c:v>
                </c:pt>
                <c:pt idx="190">
                  <c:v>15.69</c:v>
                </c:pt>
                <c:pt idx="191">
                  <c:v>#N/A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#N/A</c:v>
                </c:pt>
                <c:pt idx="198">
                  <c:v>#N/A</c:v>
                </c:pt>
                <c:pt idx="199">
                  <c:v>13.51</c:v>
                </c:pt>
                <c:pt idx="200">
                  <c:v>18.71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20.53</c:v>
                </c:pt>
                <c:pt idx="205">
                  <c:v>#N/A</c:v>
                </c:pt>
                <c:pt idx="206">
                  <c:v>26.59</c:v>
                </c:pt>
                <c:pt idx="207">
                  <c:v>38.729999999999997</c:v>
                </c:pt>
                <c:pt idx="208">
                  <c:v>24.27</c:v>
                </c:pt>
                <c:pt idx="209">
                  <c:v>#N/A</c:v>
                </c:pt>
                <c:pt idx="210">
                  <c:v>30.06</c:v>
                </c:pt>
                <c:pt idx="211">
                  <c:v>25.89</c:v>
                </c:pt>
                <c:pt idx="212">
                  <c:v>48.33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28.15</c:v>
                </c:pt>
                <c:pt idx="217">
                  <c:v>11.59</c:v>
                </c:pt>
                <c:pt idx="218">
                  <c:v>7.74</c:v>
                </c:pt>
                <c:pt idx="219">
                  <c:v>#N/A</c:v>
                </c:pt>
                <c:pt idx="220">
                  <c:v>12.16</c:v>
                </c:pt>
                <c:pt idx="221">
                  <c:v>#N/A</c:v>
                </c:pt>
                <c:pt idx="222">
                  <c:v>8.58</c:v>
                </c:pt>
                <c:pt idx="223">
                  <c:v>#N/A</c:v>
                </c:pt>
                <c:pt idx="224">
                  <c:v>13.42</c:v>
                </c:pt>
                <c:pt idx="225">
                  <c:v>#N/A</c:v>
                </c:pt>
                <c:pt idx="226">
                  <c:v>#N/A</c:v>
                </c:pt>
                <c:pt idx="227">
                  <c:v>20.45</c:v>
                </c:pt>
                <c:pt idx="228">
                  <c:v>13.28</c:v>
                </c:pt>
                <c:pt idx="229">
                  <c:v>#N/A</c:v>
                </c:pt>
                <c:pt idx="230">
                  <c:v>24.01</c:v>
                </c:pt>
                <c:pt idx="231">
                  <c:v>15.69</c:v>
                </c:pt>
                <c:pt idx="232">
                  <c:v>11.61</c:v>
                </c:pt>
                <c:pt idx="233">
                  <c:v>10.77</c:v>
                </c:pt>
                <c:pt idx="234">
                  <c:v>15.53</c:v>
                </c:pt>
                <c:pt idx="235">
                  <c:v>10.07</c:v>
                </c:pt>
                <c:pt idx="236">
                  <c:v>12.6</c:v>
                </c:pt>
                <c:pt idx="237">
                  <c:v>32.83</c:v>
                </c:pt>
                <c:pt idx="238">
                  <c:v>#N/A</c:v>
                </c:pt>
                <c:pt idx="239">
                  <c:v>29.03</c:v>
                </c:pt>
                <c:pt idx="240">
                  <c:v>#N/A</c:v>
                </c:pt>
                <c:pt idx="241">
                  <c:v>22.67</c:v>
                </c:pt>
                <c:pt idx="242">
                  <c:v>17.82</c:v>
                </c:pt>
                <c:pt idx="243">
                  <c:v>#N/A</c:v>
                </c:pt>
              </c:numCache>
            </c:numRef>
          </c:xVal>
          <c:yVal>
            <c:numRef>
              <c:f>Scatterplot!$L$3:$L$245</c:f>
              <c:numCache>
                <c:formatCode>General</c:formatCode>
                <c:ptCount val="243"/>
                <c:pt idx="0">
                  <c:v>1.66</c:v>
                </c:pt>
                <c:pt idx="1">
                  <c:v>3.5</c:v>
                </c:pt>
                <c:pt idx="2">
                  <c:v>3.31</c:v>
                </c:pt>
                <c:pt idx="3">
                  <c:v>#N/A</c:v>
                </c:pt>
                <c:pt idx="4">
                  <c:v>4.71</c:v>
                </c:pt>
                <c:pt idx="5">
                  <c:v>2</c:v>
                </c:pt>
                <c:pt idx="6">
                  <c:v>3.12</c:v>
                </c:pt>
                <c:pt idx="7">
                  <c:v>1.96</c:v>
                </c:pt>
                <c:pt idx="8">
                  <c:v>3.23</c:v>
                </c:pt>
                <c:pt idx="9">
                  <c:v>1.71</c:v>
                </c:pt>
                <c:pt idx="10">
                  <c:v>#N/A</c:v>
                </c:pt>
                <c:pt idx="11">
                  <c:v>1.57</c:v>
                </c:pt>
                <c:pt idx="12">
                  <c:v>3</c:v>
                </c:pt>
                <c:pt idx="13">
                  <c:v>#N/A</c:v>
                </c:pt>
                <c:pt idx="14">
                  <c:v>3.92</c:v>
                </c:pt>
                <c:pt idx="15">
                  <c:v>#N/A</c:v>
                </c:pt>
                <c:pt idx="16">
                  <c:v>3.71</c:v>
                </c:pt>
                <c:pt idx="17">
                  <c:v>#N/A</c:v>
                </c:pt>
                <c:pt idx="18">
                  <c:v>3.35</c:v>
                </c:pt>
                <c:pt idx="19">
                  <c:v>4.08</c:v>
                </c:pt>
                <c:pt idx="20">
                  <c:v>#N/A</c:v>
                </c:pt>
                <c:pt idx="21">
                  <c:v>#N/A</c:v>
                </c:pt>
                <c:pt idx="22">
                  <c:v>7.58</c:v>
                </c:pt>
                <c:pt idx="23">
                  <c:v>3.18</c:v>
                </c:pt>
                <c:pt idx="24">
                  <c:v>2.34</c:v>
                </c:pt>
                <c:pt idx="25">
                  <c:v>2</c:v>
                </c:pt>
                <c:pt idx="26">
                  <c:v>2</c:v>
                </c:pt>
                <c:pt idx="27">
                  <c:v>4.3</c:v>
                </c:pt>
                <c:pt idx="28">
                  <c:v>#N/A</c:v>
                </c:pt>
                <c:pt idx="29">
                  <c:v>1.45</c:v>
                </c:pt>
                <c:pt idx="30">
                  <c:v>2.5</c:v>
                </c:pt>
                <c:pt idx="31">
                  <c:v>#N/A</c:v>
                </c:pt>
                <c:pt idx="32">
                  <c:v>#N/A</c:v>
                </c:pt>
                <c:pt idx="33">
                  <c:v>3.27</c:v>
                </c:pt>
                <c:pt idx="34">
                  <c:v>3.6</c:v>
                </c:pt>
                <c:pt idx="35">
                  <c:v>2</c:v>
                </c:pt>
                <c:pt idx="36">
                  <c:v>#N/A</c:v>
                </c:pt>
                <c:pt idx="37">
                  <c:v>2.31</c:v>
                </c:pt>
                <c:pt idx="38">
                  <c:v>5</c:v>
                </c:pt>
                <c:pt idx="39">
                  <c:v>2.2400000000000002</c:v>
                </c:pt>
                <c:pt idx="40">
                  <c:v>2.54</c:v>
                </c:pt>
                <c:pt idx="41">
                  <c:v>3.06</c:v>
                </c:pt>
                <c:pt idx="42">
                  <c:v>1.32</c:v>
                </c:pt>
                <c:pt idx="43">
                  <c:v>5.6</c:v>
                </c:pt>
                <c:pt idx="44">
                  <c:v>3</c:v>
                </c:pt>
                <c:pt idx="45">
                  <c:v>5</c:v>
                </c:pt>
                <c:pt idx="46">
                  <c:v>6</c:v>
                </c:pt>
                <c:pt idx="47">
                  <c:v>2.0499999999999998</c:v>
                </c:pt>
                <c:pt idx="48">
                  <c:v>3</c:v>
                </c:pt>
                <c:pt idx="49">
                  <c:v>2.5</c:v>
                </c:pt>
                <c:pt idx="50">
                  <c:v>#N/A</c:v>
                </c:pt>
                <c:pt idx="51">
                  <c:v>#N/A</c:v>
                </c:pt>
                <c:pt idx="52">
                  <c:v>1.56</c:v>
                </c:pt>
                <c:pt idx="53">
                  <c:v>4.34</c:v>
                </c:pt>
                <c:pt idx="54">
                  <c:v>3.51</c:v>
                </c:pt>
                <c:pt idx="55">
                  <c:v>3</c:v>
                </c:pt>
                <c:pt idx="56">
                  <c:v>#N/A</c:v>
                </c:pt>
                <c:pt idx="57">
                  <c:v>1.76</c:v>
                </c:pt>
                <c:pt idx="58">
                  <c:v>6.73</c:v>
                </c:pt>
                <c:pt idx="59">
                  <c:v>3.21</c:v>
                </c:pt>
                <c:pt idx="60">
                  <c:v>2</c:v>
                </c:pt>
                <c:pt idx="61">
                  <c:v>1.98</c:v>
                </c:pt>
                <c:pt idx="62">
                  <c:v>3.76</c:v>
                </c:pt>
                <c:pt idx="63">
                  <c:v>2.64</c:v>
                </c:pt>
                <c:pt idx="64">
                  <c:v>3.15</c:v>
                </c:pt>
                <c:pt idx="65">
                  <c:v>#N/A</c:v>
                </c:pt>
                <c:pt idx="66">
                  <c:v>#N/A</c:v>
                </c:pt>
                <c:pt idx="67">
                  <c:v>2.0099999999999998</c:v>
                </c:pt>
                <c:pt idx="68">
                  <c:v>2.09</c:v>
                </c:pt>
                <c:pt idx="69">
                  <c:v>1.97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1.25</c:v>
                </c:pt>
                <c:pt idx="75">
                  <c:v>3.08</c:v>
                </c:pt>
                <c:pt idx="76">
                  <c:v>4</c:v>
                </c:pt>
                <c:pt idx="77">
                  <c:v>3</c:v>
                </c:pt>
                <c:pt idx="78">
                  <c:v>2.71</c:v>
                </c:pt>
                <c:pt idx="79">
                  <c:v>3</c:v>
                </c:pt>
                <c:pt idx="80">
                  <c:v>3.4</c:v>
                </c:pt>
                <c:pt idx="81">
                  <c:v>#N/A</c:v>
                </c:pt>
                <c:pt idx="82">
                  <c:v>5</c:v>
                </c:pt>
                <c:pt idx="83">
                  <c:v>2.0299999999999998</c:v>
                </c:pt>
                <c:pt idx="84">
                  <c:v>#N/A</c:v>
                </c:pt>
                <c:pt idx="85">
                  <c:v>2</c:v>
                </c:pt>
                <c:pt idx="86">
                  <c:v>4</c:v>
                </c:pt>
                <c:pt idx="87">
                  <c:v>5.85</c:v>
                </c:pt>
                <c:pt idx="88">
                  <c:v>3</c:v>
                </c:pt>
                <c:pt idx="89">
                  <c:v>3</c:v>
                </c:pt>
                <c:pt idx="90">
                  <c:v>3.5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4.7300000000000004</c:v>
                </c:pt>
                <c:pt idx="95">
                  <c:v>4</c:v>
                </c:pt>
                <c:pt idx="96">
                  <c:v>1.5</c:v>
                </c:pt>
                <c:pt idx="97">
                  <c:v>3</c:v>
                </c:pt>
                <c:pt idx="98">
                  <c:v>1.5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1.64</c:v>
                </c:pt>
                <c:pt idx="105">
                  <c:v>4.0599999999999996</c:v>
                </c:pt>
                <c:pt idx="106">
                  <c:v>4.29</c:v>
                </c:pt>
                <c:pt idx="107">
                  <c:v>3.76</c:v>
                </c:pt>
                <c:pt idx="108">
                  <c:v>#N/A</c:v>
                </c:pt>
                <c:pt idx="109">
                  <c:v>3</c:v>
                </c:pt>
                <c:pt idx="110">
                  <c:v>#N/A</c:v>
                </c:pt>
                <c:pt idx="111">
                  <c:v>4</c:v>
                </c:pt>
                <c:pt idx="112">
                  <c:v>2.5499999999999998</c:v>
                </c:pt>
                <c:pt idx="113">
                  <c:v>#N/A</c:v>
                </c:pt>
                <c:pt idx="114">
                  <c:v>#N/A</c:v>
                </c:pt>
                <c:pt idx="115">
                  <c:v>5.07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2.31</c:v>
                </c:pt>
                <c:pt idx="120">
                  <c:v>#N/A</c:v>
                </c:pt>
                <c:pt idx="121">
                  <c:v>2.5</c:v>
                </c:pt>
                <c:pt idx="122">
                  <c:v>2</c:v>
                </c:pt>
                <c:pt idx="123">
                  <c:v>#N/A</c:v>
                </c:pt>
                <c:pt idx="124">
                  <c:v>#N/A</c:v>
                </c:pt>
                <c:pt idx="125">
                  <c:v>1.48</c:v>
                </c:pt>
                <c:pt idx="126">
                  <c:v>#N/A</c:v>
                </c:pt>
                <c:pt idx="127">
                  <c:v>#N/A</c:v>
                </c:pt>
                <c:pt idx="128">
                  <c:v>2.1800000000000002</c:v>
                </c:pt>
                <c:pt idx="129">
                  <c:v>1.5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#N/A</c:v>
                </c:pt>
                <c:pt idx="139">
                  <c:v>#N/A</c:v>
                </c:pt>
                <c:pt idx="140">
                  <c:v>6.7</c:v>
                </c:pt>
                <c:pt idx="141">
                  <c:v>5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1.73</c:v>
                </c:pt>
                <c:pt idx="148">
                  <c:v>2</c:v>
                </c:pt>
                <c:pt idx="149">
                  <c:v>2.5</c:v>
                </c:pt>
                <c:pt idx="150">
                  <c:v>2</c:v>
                </c:pt>
                <c:pt idx="151">
                  <c:v>2.74</c:v>
                </c:pt>
                <c:pt idx="152">
                  <c:v>2</c:v>
                </c:pt>
                <c:pt idx="153">
                  <c:v>2</c:v>
                </c:pt>
                <c:pt idx="154">
                  <c:v>#N/A</c:v>
                </c:pt>
                <c:pt idx="155">
                  <c:v>5</c:v>
                </c:pt>
                <c:pt idx="156">
                  <c:v>#N/A</c:v>
                </c:pt>
                <c:pt idx="157">
                  <c:v>#N/A</c:v>
                </c:pt>
                <c:pt idx="158">
                  <c:v>2</c:v>
                </c:pt>
                <c:pt idx="159">
                  <c:v>3.5</c:v>
                </c:pt>
                <c:pt idx="160">
                  <c:v>2.5</c:v>
                </c:pt>
                <c:pt idx="161">
                  <c:v>#N/A</c:v>
                </c:pt>
                <c:pt idx="162">
                  <c:v>2</c:v>
                </c:pt>
                <c:pt idx="163">
                  <c:v>#N/A</c:v>
                </c:pt>
                <c:pt idx="164">
                  <c:v>3.48</c:v>
                </c:pt>
                <c:pt idx="165">
                  <c:v>2.2400000000000002</c:v>
                </c:pt>
                <c:pt idx="166">
                  <c:v>4.5</c:v>
                </c:pt>
                <c:pt idx="167">
                  <c:v>#N/A</c:v>
                </c:pt>
                <c:pt idx="168">
                  <c:v>#N/A</c:v>
                </c:pt>
                <c:pt idx="169">
                  <c:v>10</c:v>
                </c:pt>
                <c:pt idx="170">
                  <c:v>3.16</c:v>
                </c:pt>
                <c:pt idx="171">
                  <c:v>5.15</c:v>
                </c:pt>
                <c:pt idx="172">
                  <c:v>3.18</c:v>
                </c:pt>
                <c:pt idx="173">
                  <c:v>4</c:v>
                </c:pt>
                <c:pt idx="174">
                  <c:v>3.11</c:v>
                </c:pt>
                <c:pt idx="175">
                  <c:v>2</c:v>
                </c:pt>
                <c:pt idx="176">
                  <c:v>2</c:v>
                </c:pt>
                <c:pt idx="177">
                  <c:v>#N/A</c:v>
                </c:pt>
                <c:pt idx="178">
                  <c:v>3.55</c:v>
                </c:pt>
                <c:pt idx="179">
                  <c:v>3.68</c:v>
                </c:pt>
                <c:pt idx="180">
                  <c:v>5.65</c:v>
                </c:pt>
                <c:pt idx="181">
                  <c:v>3.5</c:v>
                </c:pt>
                <c:pt idx="182">
                  <c:v>6.5</c:v>
                </c:pt>
                <c:pt idx="183">
                  <c:v>3</c:v>
                </c:pt>
                <c:pt idx="184">
                  <c:v>5</c:v>
                </c:pt>
                <c:pt idx="185">
                  <c:v>#N/A</c:v>
                </c:pt>
                <c:pt idx="186">
                  <c:v>2</c:v>
                </c:pt>
                <c:pt idx="187">
                  <c:v>#N/A</c:v>
                </c:pt>
                <c:pt idx="188">
                  <c:v>4</c:v>
                </c:pt>
                <c:pt idx="189">
                  <c:v>1.5</c:v>
                </c:pt>
                <c:pt idx="190">
                  <c:v>#N/A</c:v>
                </c:pt>
                <c:pt idx="191">
                  <c:v>2.56</c:v>
                </c:pt>
                <c:pt idx="192">
                  <c:v>2.02</c:v>
                </c:pt>
                <c:pt idx="193">
                  <c:v>4</c:v>
                </c:pt>
                <c:pt idx="194">
                  <c:v>1.44</c:v>
                </c:pt>
                <c:pt idx="195">
                  <c:v>2</c:v>
                </c:pt>
                <c:pt idx="196">
                  <c:v>#N/A</c:v>
                </c:pt>
                <c:pt idx="197">
                  <c:v>#N/A</c:v>
                </c:pt>
                <c:pt idx="198">
                  <c:v>2</c:v>
                </c:pt>
                <c:pt idx="199">
                  <c:v>4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4</c:v>
                </c:pt>
                <c:pt idx="204">
                  <c:v>#N/A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#N/A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#N/A</c:v>
                </c:pt>
                <c:pt idx="219">
                  <c:v>2.2000000000000002</c:v>
                </c:pt>
                <c:pt idx="220">
                  <c:v>#N/A</c:v>
                </c:pt>
                <c:pt idx="221">
                  <c:v>1.92</c:v>
                </c:pt>
                <c:pt idx="222">
                  <c:v>#N/A</c:v>
                </c:pt>
                <c:pt idx="223">
                  <c:v>1.58</c:v>
                </c:pt>
                <c:pt idx="224">
                  <c:v>#N/A</c:v>
                </c:pt>
                <c:pt idx="225">
                  <c:v>#N/A</c:v>
                </c:pt>
                <c:pt idx="226">
                  <c:v>3</c:v>
                </c:pt>
                <c:pt idx="227">
                  <c:v>2.72</c:v>
                </c:pt>
                <c:pt idx="228">
                  <c:v>#N/A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#N/A</c:v>
                </c:pt>
                <c:pt idx="238">
                  <c:v>5.92</c:v>
                </c:pt>
                <c:pt idx="239">
                  <c:v>#N/A</c:v>
                </c:pt>
                <c:pt idx="240">
                  <c:v>2</c:v>
                </c:pt>
                <c:pt idx="241">
                  <c:v>1.75</c:v>
                </c:pt>
                <c:pt idx="24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87-4B4F-BD6A-2334E1F94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787872"/>
        <c:axId val="610028648"/>
      </c:scatterChart>
      <c:valAx>
        <c:axId val="66678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Total_Bill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28648"/>
        <c:crosses val="autoZero"/>
        <c:crossBetween val="midCat"/>
      </c:valAx>
      <c:valAx>
        <c:axId val="6100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87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61912</xdr:rowOff>
    </xdr:from>
    <xdr:to>
      <xdr:col>10</xdr:col>
      <xdr:colOff>342900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96C69-8A26-46B9-A42A-B18D10E2B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109537</xdr:rowOff>
    </xdr:from>
    <xdr:to>
      <xdr:col>11</xdr:col>
      <xdr:colOff>171450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1AECD-0ADA-4C48-A4A5-7351F8573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495299</xdr:colOff>
      <xdr:row>1</xdr:row>
      <xdr:rowOff>100012</xdr:rowOff>
    </xdr:from>
    <xdr:to>
      <xdr:col>23</xdr:col>
      <xdr:colOff>561974</xdr:colOff>
      <xdr:row>18</xdr:row>
      <xdr:rowOff>28576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A8F8DD-5112-4311-B18C-23BC98CAE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571500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D40882-55DF-486D-AABD-40FCCC792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6</xdr:row>
      <xdr:rowOff>190499</xdr:rowOff>
    </xdr:from>
    <xdr:to>
      <xdr:col>13</xdr:col>
      <xdr:colOff>590550</xdr:colOff>
      <xdr:row>22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A148B6-D196-4B17-9808-3F4FF3EC8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11906</xdr:colOff>
      <xdr:row>22</xdr:row>
      <xdr:rowOff>176212</xdr:rowOff>
    </xdr:from>
    <xdr:to>
      <xdr:col>13</xdr:col>
      <xdr:colOff>602456</xdr:colOff>
      <xdr:row>38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D0518D-7F71-41F1-B7A9-788DF61F3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ya B" refreshedDate="46243.746995370369" createdVersion="7" refreshedVersion="7" minRefreshableVersion="3" recordCount="244" xr:uid="{00000000-000A-0000-FFFF-FFFF05000000}">
  <cacheSource type="worksheet">
    <worksheetSource ref="A1:H245" sheet="Scatterplot"/>
  </cacheSource>
  <cacheFields count="8"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  <cacheField name="sex" numFmtId="0">
      <sharedItems/>
    </cacheField>
    <cacheField name="smoker" numFmtId="0">
      <sharedItems count="2">
        <s v="No"/>
        <s v="Yes"/>
      </sharedItems>
    </cacheField>
    <cacheField name="day" numFmtId="0">
      <sharedItems count="4">
        <s v="Sun"/>
        <s v="Sat"/>
        <s v="Thur"/>
        <s v="Fri"/>
      </sharedItems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  <cacheField name="tip_percentage" numFmtId="0">
      <sharedItems containsSemiMixedTypes="0" containsString="0" containsNumber="1" minValue="3.5638135851355401" maxValue="71.034482758620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4">
  <r>
    <n v="16.989999999999998"/>
    <n v="1.01"/>
    <s v="Female"/>
    <x v="0"/>
    <x v="0"/>
    <x v="0"/>
    <n v="2"/>
    <n v="5.9446733372572096"/>
  </r>
  <r>
    <n v="10.34"/>
    <n v="1.66"/>
    <s v="Male"/>
    <x v="0"/>
    <x v="0"/>
    <x v="0"/>
    <n v="3"/>
    <n v="16.054158607350001"/>
  </r>
  <r>
    <n v="21.01"/>
    <n v="3.5"/>
    <s v="Male"/>
    <x v="0"/>
    <x v="0"/>
    <x v="0"/>
    <n v="3"/>
    <n v="16.658733936220798"/>
  </r>
  <r>
    <n v="23.68"/>
    <n v="3.31"/>
    <s v="Male"/>
    <x v="0"/>
    <x v="0"/>
    <x v="0"/>
    <n v="2"/>
    <n v="13.978040540540499"/>
  </r>
  <r>
    <n v="24.59"/>
    <n v="3.61"/>
    <s v="Female"/>
    <x v="0"/>
    <x v="0"/>
    <x v="0"/>
    <n v="4"/>
    <n v="14.6807645384302"/>
  </r>
  <r>
    <n v="25.29"/>
    <n v="4.71"/>
    <s v="Male"/>
    <x v="0"/>
    <x v="0"/>
    <x v="0"/>
    <n v="4"/>
    <n v="18.623962040332099"/>
  </r>
  <r>
    <n v="8.77"/>
    <n v="2"/>
    <s v="Male"/>
    <x v="0"/>
    <x v="0"/>
    <x v="0"/>
    <n v="2"/>
    <n v="22.8050171037628"/>
  </r>
  <r>
    <n v="26.88"/>
    <n v="3.12"/>
    <s v="Male"/>
    <x v="0"/>
    <x v="0"/>
    <x v="0"/>
    <n v="4"/>
    <n v="11.607142857142801"/>
  </r>
  <r>
    <n v="15.04"/>
    <n v="1.96"/>
    <s v="Male"/>
    <x v="0"/>
    <x v="0"/>
    <x v="0"/>
    <n v="2"/>
    <n v="13.031914893617"/>
  </r>
  <r>
    <n v="14.78"/>
    <n v="3.23"/>
    <s v="Male"/>
    <x v="0"/>
    <x v="0"/>
    <x v="0"/>
    <n v="2"/>
    <n v="21.8538565629228"/>
  </r>
  <r>
    <n v="10.27"/>
    <n v="1.71"/>
    <s v="Male"/>
    <x v="0"/>
    <x v="0"/>
    <x v="0"/>
    <n v="2"/>
    <n v="16.650438169425499"/>
  </r>
  <r>
    <n v="35.26"/>
    <n v="5"/>
    <s v="Female"/>
    <x v="0"/>
    <x v="0"/>
    <x v="0"/>
    <n v="4"/>
    <n v="14.1803743618831"/>
  </r>
  <r>
    <n v="15.42"/>
    <n v="1.57"/>
    <s v="Male"/>
    <x v="0"/>
    <x v="0"/>
    <x v="0"/>
    <n v="2"/>
    <n v="10.1815823605706"/>
  </r>
  <r>
    <n v="18.43"/>
    <n v="3"/>
    <s v="Male"/>
    <x v="0"/>
    <x v="0"/>
    <x v="0"/>
    <n v="4"/>
    <n v="16.277807921866501"/>
  </r>
  <r>
    <n v="14.83"/>
    <n v="3.02"/>
    <s v="Female"/>
    <x v="0"/>
    <x v="0"/>
    <x v="0"/>
    <n v="2"/>
    <n v="20.364126770060601"/>
  </r>
  <r>
    <n v="21.58"/>
    <n v="3.92"/>
    <s v="Male"/>
    <x v="0"/>
    <x v="0"/>
    <x v="0"/>
    <n v="2"/>
    <n v="18.164967562557901"/>
  </r>
  <r>
    <n v="10.33"/>
    <n v="1.67"/>
    <s v="Female"/>
    <x v="0"/>
    <x v="0"/>
    <x v="0"/>
    <n v="3"/>
    <n v="16.1665053242981"/>
  </r>
  <r>
    <n v="16.29"/>
    <n v="3.71"/>
    <s v="Male"/>
    <x v="0"/>
    <x v="0"/>
    <x v="0"/>
    <n v="3"/>
    <n v="22.7747084100675"/>
  </r>
  <r>
    <n v="16.97"/>
    <n v="3.5"/>
    <s v="Female"/>
    <x v="0"/>
    <x v="0"/>
    <x v="0"/>
    <n v="3"/>
    <n v="20.624631703005299"/>
  </r>
  <r>
    <n v="20.65"/>
    <n v="3.35"/>
    <s v="Male"/>
    <x v="0"/>
    <x v="1"/>
    <x v="0"/>
    <n v="3"/>
    <n v="16.222760290556899"/>
  </r>
  <r>
    <n v="17.920000000000002"/>
    <n v="4.08"/>
    <s v="Male"/>
    <x v="0"/>
    <x v="1"/>
    <x v="0"/>
    <n v="2"/>
    <n v="22.7678571428571"/>
  </r>
  <r>
    <n v="20.29"/>
    <n v="2.75"/>
    <s v="Female"/>
    <x v="0"/>
    <x v="1"/>
    <x v="0"/>
    <n v="2"/>
    <n v="13.5534746180384"/>
  </r>
  <r>
    <n v="15.77"/>
    <n v="2.23"/>
    <s v="Female"/>
    <x v="0"/>
    <x v="1"/>
    <x v="0"/>
    <n v="2"/>
    <n v="14.1407736207989"/>
  </r>
  <r>
    <n v="39.42"/>
    <n v="7.58"/>
    <s v="Male"/>
    <x v="0"/>
    <x v="1"/>
    <x v="0"/>
    <n v="4"/>
    <n v="19.228817858954798"/>
  </r>
  <r>
    <n v="19.82"/>
    <n v="3.18"/>
    <s v="Male"/>
    <x v="0"/>
    <x v="1"/>
    <x v="0"/>
    <n v="2"/>
    <n v="16.044399596367299"/>
  </r>
  <r>
    <n v="17.809999999999999"/>
    <n v="2.34"/>
    <s v="Male"/>
    <x v="0"/>
    <x v="1"/>
    <x v="0"/>
    <n v="4"/>
    <n v="13.1386861313868"/>
  </r>
  <r>
    <n v="13.37"/>
    <n v="2"/>
    <s v="Male"/>
    <x v="0"/>
    <x v="1"/>
    <x v="0"/>
    <n v="2"/>
    <n v="14.958863126402299"/>
  </r>
  <r>
    <n v="12.69"/>
    <n v="2"/>
    <s v="Male"/>
    <x v="0"/>
    <x v="1"/>
    <x v="0"/>
    <n v="2"/>
    <n v="15.7604412923561"/>
  </r>
  <r>
    <n v="21.7"/>
    <n v="4.3"/>
    <s v="Male"/>
    <x v="0"/>
    <x v="1"/>
    <x v="0"/>
    <n v="2"/>
    <n v="19.8156682027649"/>
  </r>
  <r>
    <n v="19.649999999999999"/>
    <n v="3"/>
    <s v="Female"/>
    <x v="0"/>
    <x v="1"/>
    <x v="0"/>
    <n v="2"/>
    <n v="15.267175572518999"/>
  </r>
  <r>
    <n v="9.5500000000000007"/>
    <n v="1.45"/>
    <s v="Male"/>
    <x v="0"/>
    <x v="1"/>
    <x v="0"/>
    <n v="2"/>
    <n v="15.183246073298401"/>
  </r>
  <r>
    <n v="18.350000000000001"/>
    <n v="2.5"/>
    <s v="Male"/>
    <x v="0"/>
    <x v="1"/>
    <x v="0"/>
    <n v="4"/>
    <n v="13.623978201634801"/>
  </r>
  <r>
    <n v="15.06"/>
    <n v="3"/>
    <s v="Female"/>
    <x v="0"/>
    <x v="1"/>
    <x v="0"/>
    <n v="2"/>
    <n v="19.920318725099602"/>
  </r>
  <r>
    <n v="20.69"/>
    <n v="2.4500000000000002"/>
    <s v="Female"/>
    <x v="0"/>
    <x v="1"/>
    <x v="0"/>
    <n v="4"/>
    <n v="11.8414693088448"/>
  </r>
  <r>
    <n v="17.78"/>
    <n v="3.27"/>
    <s v="Male"/>
    <x v="0"/>
    <x v="1"/>
    <x v="0"/>
    <n v="2"/>
    <n v="18.391451068616401"/>
  </r>
  <r>
    <n v="24.06"/>
    <n v="3.6"/>
    <s v="Male"/>
    <x v="0"/>
    <x v="1"/>
    <x v="0"/>
    <n v="3"/>
    <n v="14.962593516209401"/>
  </r>
  <r>
    <n v="16.309999999999999"/>
    <n v="2"/>
    <s v="Male"/>
    <x v="0"/>
    <x v="1"/>
    <x v="0"/>
    <n v="3"/>
    <n v="12.262415695892001"/>
  </r>
  <r>
    <n v="16.93"/>
    <n v="3.07"/>
    <s v="Female"/>
    <x v="0"/>
    <x v="1"/>
    <x v="0"/>
    <n v="3"/>
    <n v="18.1334908446544"/>
  </r>
  <r>
    <n v="18.690000000000001"/>
    <n v="2.31"/>
    <s v="Male"/>
    <x v="0"/>
    <x v="1"/>
    <x v="0"/>
    <n v="3"/>
    <n v="12.3595505617977"/>
  </r>
  <r>
    <n v="31.27"/>
    <n v="5"/>
    <s v="Male"/>
    <x v="0"/>
    <x v="1"/>
    <x v="0"/>
    <n v="3"/>
    <n v="15.9897665494083"/>
  </r>
  <r>
    <n v="16.04"/>
    <n v="2.2400000000000002"/>
    <s v="Male"/>
    <x v="0"/>
    <x v="1"/>
    <x v="0"/>
    <n v="3"/>
    <n v="13.965087281795499"/>
  </r>
  <r>
    <n v="17.46"/>
    <n v="2.54"/>
    <s v="Male"/>
    <x v="0"/>
    <x v="0"/>
    <x v="0"/>
    <n v="2"/>
    <n v="14.547537227949499"/>
  </r>
  <r>
    <n v="13.94"/>
    <n v="3.06"/>
    <s v="Male"/>
    <x v="0"/>
    <x v="0"/>
    <x v="0"/>
    <n v="2"/>
    <n v="21.951219512195099"/>
  </r>
  <r>
    <n v="9.68"/>
    <n v="1.32"/>
    <s v="Male"/>
    <x v="0"/>
    <x v="0"/>
    <x v="0"/>
    <n v="2"/>
    <n v="13.636363636363599"/>
  </r>
  <r>
    <n v="30.4"/>
    <n v="5.6"/>
    <s v="Male"/>
    <x v="0"/>
    <x v="0"/>
    <x v="0"/>
    <n v="4"/>
    <n v="18.421052631578899"/>
  </r>
  <r>
    <n v="18.29"/>
    <n v="3"/>
    <s v="Male"/>
    <x v="0"/>
    <x v="0"/>
    <x v="0"/>
    <n v="2"/>
    <n v="16.402405686167299"/>
  </r>
  <r>
    <n v="22.23"/>
    <n v="5"/>
    <s v="Male"/>
    <x v="0"/>
    <x v="0"/>
    <x v="0"/>
    <n v="2"/>
    <n v="22.492127755285601"/>
  </r>
  <r>
    <n v="32.4"/>
    <n v="6"/>
    <s v="Male"/>
    <x v="0"/>
    <x v="0"/>
    <x v="0"/>
    <n v="4"/>
    <n v="18.518518518518501"/>
  </r>
  <r>
    <n v="28.55"/>
    <n v="2.0499999999999998"/>
    <s v="Male"/>
    <x v="0"/>
    <x v="0"/>
    <x v="0"/>
    <n v="3"/>
    <n v="7.1803852889667201"/>
  </r>
  <r>
    <n v="18.04"/>
    <n v="3"/>
    <s v="Male"/>
    <x v="0"/>
    <x v="0"/>
    <x v="0"/>
    <n v="2"/>
    <n v="16.629711751662899"/>
  </r>
  <r>
    <n v="12.54"/>
    <n v="2.5"/>
    <s v="Male"/>
    <x v="0"/>
    <x v="0"/>
    <x v="0"/>
    <n v="2"/>
    <n v="19.9362041467304"/>
  </r>
  <r>
    <n v="10.29"/>
    <n v="2.6"/>
    <s v="Female"/>
    <x v="0"/>
    <x v="0"/>
    <x v="0"/>
    <n v="2"/>
    <n v="25.267249757045601"/>
  </r>
  <r>
    <n v="34.81"/>
    <n v="5.2"/>
    <s v="Female"/>
    <x v="0"/>
    <x v="0"/>
    <x v="0"/>
    <n v="4"/>
    <n v="14.9382361390405"/>
  </r>
  <r>
    <n v="9.94"/>
    <n v="1.56"/>
    <s v="Male"/>
    <x v="0"/>
    <x v="0"/>
    <x v="0"/>
    <n v="2"/>
    <n v="15.694164989939599"/>
  </r>
  <r>
    <n v="25.56"/>
    <n v="4.34"/>
    <s v="Male"/>
    <x v="0"/>
    <x v="0"/>
    <x v="0"/>
    <n v="4"/>
    <n v="16.97965571205"/>
  </r>
  <r>
    <n v="19.489999999999998"/>
    <n v="3.51"/>
    <s v="Male"/>
    <x v="0"/>
    <x v="0"/>
    <x v="0"/>
    <n v="2"/>
    <n v="18.009235505387299"/>
  </r>
  <r>
    <n v="38.01"/>
    <n v="3"/>
    <s v="Male"/>
    <x v="1"/>
    <x v="1"/>
    <x v="0"/>
    <n v="4"/>
    <n v="7.8926598263614798"/>
  </r>
  <r>
    <n v="26.41"/>
    <n v="1.5"/>
    <s v="Female"/>
    <x v="0"/>
    <x v="1"/>
    <x v="0"/>
    <n v="2"/>
    <n v="5.6796667928814797"/>
  </r>
  <r>
    <n v="11.24"/>
    <n v="1.76"/>
    <s v="Male"/>
    <x v="1"/>
    <x v="1"/>
    <x v="0"/>
    <n v="2"/>
    <n v="15.6583629893238"/>
  </r>
  <r>
    <n v="48.27"/>
    <n v="6.73"/>
    <s v="Male"/>
    <x v="0"/>
    <x v="1"/>
    <x v="0"/>
    <n v="4"/>
    <n v="13.942407292314"/>
  </r>
  <r>
    <n v="20.29"/>
    <n v="3.21"/>
    <s v="Male"/>
    <x v="1"/>
    <x v="1"/>
    <x v="0"/>
    <n v="2"/>
    <n v="15.8206012814194"/>
  </r>
  <r>
    <n v="13.81"/>
    <n v="2"/>
    <s v="Male"/>
    <x v="1"/>
    <x v="1"/>
    <x v="0"/>
    <n v="2"/>
    <n v="14.4822592324402"/>
  </r>
  <r>
    <n v="11.02"/>
    <n v="1.98"/>
    <s v="Male"/>
    <x v="1"/>
    <x v="1"/>
    <x v="0"/>
    <n v="2"/>
    <n v="17.9673321234119"/>
  </r>
  <r>
    <n v="18.29"/>
    <n v="3.76"/>
    <s v="Male"/>
    <x v="1"/>
    <x v="1"/>
    <x v="0"/>
    <n v="4"/>
    <n v="20.5576817933296"/>
  </r>
  <r>
    <n v="17.59"/>
    <n v="2.64"/>
    <s v="Male"/>
    <x v="0"/>
    <x v="1"/>
    <x v="0"/>
    <n v="3"/>
    <n v="15.008527572484301"/>
  </r>
  <r>
    <n v="20.079999999999998"/>
    <n v="3.15"/>
    <s v="Male"/>
    <x v="0"/>
    <x v="1"/>
    <x v="0"/>
    <n v="3"/>
    <n v="15.6872509960159"/>
  </r>
  <r>
    <n v="16.45"/>
    <n v="2.4700000000000002"/>
    <s v="Female"/>
    <x v="0"/>
    <x v="1"/>
    <x v="0"/>
    <n v="2"/>
    <n v="15.015197568389"/>
  </r>
  <r>
    <n v="3.07"/>
    <n v="1"/>
    <s v="Female"/>
    <x v="1"/>
    <x v="1"/>
    <x v="0"/>
    <n v="1"/>
    <n v="32.573289902280102"/>
  </r>
  <r>
    <n v="20.23"/>
    <n v="2.0099999999999998"/>
    <s v="Male"/>
    <x v="0"/>
    <x v="1"/>
    <x v="0"/>
    <n v="2"/>
    <n v="9.9357390014829399"/>
  </r>
  <r>
    <n v="15.01"/>
    <n v="2.09"/>
    <s v="Male"/>
    <x v="1"/>
    <x v="1"/>
    <x v="0"/>
    <n v="2"/>
    <n v="13.9240506329113"/>
  </r>
  <r>
    <n v="12.02"/>
    <n v="1.97"/>
    <s v="Male"/>
    <x v="0"/>
    <x v="1"/>
    <x v="0"/>
    <n v="2"/>
    <n v="16.389351081530702"/>
  </r>
  <r>
    <n v="17.07"/>
    <n v="3"/>
    <s v="Female"/>
    <x v="0"/>
    <x v="1"/>
    <x v="0"/>
    <n v="3"/>
    <n v="17.574692442882199"/>
  </r>
  <r>
    <n v="26.86"/>
    <n v="3.14"/>
    <s v="Female"/>
    <x v="1"/>
    <x v="1"/>
    <x v="0"/>
    <n v="2"/>
    <n v="11.690245718540501"/>
  </r>
  <r>
    <n v="25.28"/>
    <n v="5"/>
    <s v="Female"/>
    <x v="1"/>
    <x v="1"/>
    <x v="0"/>
    <n v="2"/>
    <n v="19.778481012658201"/>
  </r>
  <r>
    <n v="14.73"/>
    <n v="2.2000000000000002"/>
    <s v="Female"/>
    <x v="0"/>
    <x v="1"/>
    <x v="0"/>
    <n v="2"/>
    <n v="14.935505770536301"/>
  </r>
  <r>
    <n v="10.51"/>
    <n v="1.25"/>
    <s v="Male"/>
    <x v="0"/>
    <x v="1"/>
    <x v="0"/>
    <n v="2"/>
    <n v="11.893434823977101"/>
  </r>
  <r>
    <n v="17.920000000000002"/>
    <n v="3.08"/>
    <s v="Male"/>
    <x v="1"/>
    <x v="1"/>
    <x v="0"/>
    <n v="2"/>
    <n v="17.1875"/>
  </r>
  <r>
    <n v="27.2"/>
    <n v="4"/>
    <s v="Male"/>
    <x v="0"/>
    <x v="2"/>
    <x v="1"/>
    <n v="4"/>
    <n v="14.705882352941099"/>
  </r>
  <r>
    <n v="22.76"/>
    <n v="3"/>
    <s v="Male"/>
    <x v="0"/>
    <x v="2"/>
    <x v="1"/>
    <n v="2"/>
    <n v="13.1810193321616"/>
  </r>
  <r>
    <n v="17.29"/>
    <n v="2.71"/>
    <s v="Male"/>
    <x v="0"/>
    <x v="2"/>
    <x v="1"/>
    <n v="2"/>
    <n v="15.673799884326201"/>
  </r>
  <r>
    <n v="19.440000000000001"/>
    <n v="3"/>
    <s v="Male"/>
    <x v="1"/>
    <x v="2"/>
    <x v="1"/>
    <n v="2"/>
    <n v="15.432098765432"/>
  </r>
  <r>
    <n v="16.66"/>
    <n v="3.4"/>
    <s v="Male"/>
    <x v="0"/>
    <x v="2"/>
    <x v="1"/>
    <n v="2"/>
    <n v="20.408163265306101"/>
  </r>
  <r>
    <n v="10.07"/>
    <n v="1.83"/>
    <s v="Female"/>
    <x v="0"/>
    <x v="2"/>
    <x v="1"/>
    <n v="1"/>
    <n v="18.172790466732799"/>
  </r>
  <r>
    <n v="32.68"/>
    <n v="5"/>
    <s v="Male"/>
    <x v="1"/>
    <x v="2"/>
    <x v="1"/>
    <n v="2"/>
    <n v="15.2998776009791"/>
  </r>
  <r>
    <n v="15.98"/>
    <n v="2.0299999999999998"/>
    <s v="Male"/>
    <x v="0"/>
    <x v="2"/>
    <x v="1"/>
    <n v="2"/>
    <n v="12.70337922403"/>
  </r>
  <r>
    <n v="34.83"/>
    <n v="5.17"/>
    <s v="Female"/>
    <x v="0"/>
    <x v="2"/>
    <x v="1"/>
    <n v="4"/>
    <n v="14.8435256962388"/>
  </r>
  <r>
    <n v="13.03"/>
    <n v="2"/>
    <s v="Male"/>
    <x v="0"/>
    <x v="2"/>
    <x v="1"/>
    <n v="2"/>
    <n v="15.3491941673062"/>
  </r>
  <r>
    <n v="18.28"/>
    <n v="4"/>
    <s v="Male"/>
    <x v="0"/>
    <x v="2"/>
    <x v="1"/>
    <n v="2"/>
    <n v="21.8818380743982"/>
  </r>
  <r>
    <n v="24.71"/>
    <n v="5.85"/>
    <s v="Male"/>
    <x v="0"/>
    <x v="2"/>
    <x v="1"/>
    <n v="2"/>
    <n v="23.6746256576284"/>
  </r>
  <r>
    <n v="21.16"/>
    <n v="3"/>
    <s v="Male"/>
    <x v="0"/>
    <x v="2"/>
    <x v="1"/>
    <n v="2"/>
    <n v="14.1776937618147"/>
  </r>
  <r>
    <n v="28.97"/>
    <n v="3"/>
    <s v="Male"/>
    <x v="1"/>
    <x v="3"/>
    <x v="0"/>
    <n v="2"/>
    <n v="10.3555402140144"/>
  </r>
  <r>
    <n v="22.49"/>
    <n v="3.5"/>
    <s v="Male"/>
    <x v="0"/>
    <x v="3"/>
    <x v="0"/>
    <n v="2"/>
    <n v="15.562472209871"/>
  </r>
  <r>
    <n v="5.75"/>
    <n v="1"/>
    <s v="Female"/>
    <x v="1"/>
    <x v="3"/>
    <x v="0"/>
    <n v="2"/>
    <n v="17.391304347826001"/>
  </r>
  <r>
    <n v="16.32"/>
    <n v="4.3"/>
    <s v="Female"/>
    <x v="1"/>
    <x v="3"/>
    <x v="0"/>
    <n v="2"/>
    <n v="26.3480392156862"/>
  </r>
  <r>
    <n v="22.75"/>
    <n v="3.25"/>
    <s v="Female"/>
    <x v="0"/>
    <x v="3"/>
    <x v="0"/>
    <n v="2"/>
    <n v="14.285714285714199"/>
  </r>
  <r>
    <n v="40.17"/>
    <n v="4.7300000000000004"/>
    <s v="Male"/>
    <x v="1"/>
    <x v="3"/>
    <x v="0"/>
    <n v="4"/>
    <n v="11.7749564351506"/>
  </r>
  <r>
    <n v="27.28"/>
    <n v="4"/>
    <s v="Male"/>
    <x v="1"/>
    <x v="3"/>
    <x v="0"/>
    <n v="2"/>
    <n v="14.662756598240399"/>
  </r>
  <r>
    <n v="12.03"/>
    <n v="1.5"/>
    <s v="Male"/>
    <x v="1"/>
    <x v="3"/>
    <x v="0"/>
    <n v="2"/>
    <n v="12.4688279301745"/>
  </r>
  <r>
    <n v="21.01"/>
    <n v="3"/>
    <s v="Male"/>
    <x v="1"/>
    <x v="3"/>
    <x v="0"/>
    <n v="2"/>
    <n v="14.278914802475001"/>
  </r>
  <r>
    <n v="12.46"/>
    <n v="1.5"/>
    <s v="Male"/>
    <x v="0"/>
    <x v="3"/>
    <x v="0"/>
    <n v="2"/>
    <n v="12.038523274478299"/>
  </r>
  <r>
    <n v="11.35"/>
    <n v="2.5"/>
    <s v="Female"/>
    <x v="1"/>
    <x v="3"/>
    <x v="0"/>
    <n v="2"/>
    <n v="22.026431718061598"/>
  </r>
  <r>
    <n v="15.38"/>
    <n v="3"/>
    <s v="Female"/>
    <x v="1"/>
    <x v="3"/>
    <x v="0"/>
    <n v="2"/>
    <n v="19.505851755526599"/>
  </r>
  <r>
    <n v="44.3"/>
    <n v="2.5"/>
    <s v="Female"/>
    <x v="1"/>
    <x v="1"/>
    <x v="0"/>
    <n v="3"/>
    <n v="5.6433408577878099"/>
  </r>
  <r>
    <n v="22.42"/>
    <n v="3.48"/>
    <s v="Female"/>
    <x v="1"/>
    <x v="1"/>
    <x v="0"/>
    <n v="2"/>
    <n v="15.521855486172999"/>
  </r>
  <r>
    <n v="20.92"/>
    <n v="4.08"/>
    <s v="Female"/>
    <x v="0"/>
    <x v="1"/>
    <x v="0"/>
    <n v="2"/>
    <n v="19.5028680688336"/>
  </r>
  <r>
    <n v="15.36"/>
    <n v="1.64"/>
    <s v="Male"/>
    <x v="1"/>
    <x v="1"/>
    <x v="0"/>
    <n v="2"/>
    <n v="10.6770833333333"/>
  </r>
  <r>
    <n v="20.49"/>
    <n v="4.0599999999999996"/>
    <s v="Male"/>
    <x v="1"/>
    <x v="1"/>
    <x v="0"/>
    <n v="2"/>
    <n v="19.814543679843801"/>
  </r>
  <r>
    <n v="25.21"/>
    <n v="4.29"/>
    <s v="Male"/>
    <x v="1"/>
    <x v="1"/>
    <x v="0"/>
    <n v="2"/>
    <n v="17.017056723522401"/>
  </r>
  <r>
    <n v="18.239999999999998"/>
    <n v="3.76"/>
    <s v="Male"/>
    <x v="0"/>
    <x v="1"/>
    <x v="0"/>
    <n v="2"/>
    <n v="20.614035087719198"/>
  </r>
  <r>
    <n v="14.31"/>
    <n v="4"/>
    <s v="Female"/>
    <x v="1"/>
    <x v="1"/>
    <x v="0"/>
    <n v="2"/>
    <n v="27.952480782669401"/>
  </r>
  <r>
    <n v="14"/>
    <n v="3"/>
    <s v="Male"/>
    <x v="0"/>
    <x v="1"/>
    <x v="0"/>
    <n v="2"/>
    <n v="21.428571428571399"/>
  </r>
  <r>
    <n v="7.25"/>
    <n v="1"/>
    <s v="Female"/>
    <x v="0"/>
    <x v="1"/>
    <x v="0"/>
    <n v="1"/>
    <n v="13.793103448275801"/>
  </r>
  <r>
    <n v="38.07"/>
    <n v="4"/>
    <s v="Male"/>
    <x v="0"/>
    <x v="0"/>
    <x v="0"/>
    <n v="3"/>
    <n v="10.5069608615707"/>
  </r>
  <r>
    <n v="23.95"/>
    <n v="2.5499999999999998"/>
    <s v="Male"/>
    <x v="0"/>
    <x v="0"/>
    <x v="0"/>
    <n v="2"/>
    <n v="10.647181628392399"/>
  </r>
  <r>
    <n v="25.71"/>
    <n v="4"/>
    <s v="Female"/>
    <x v="0"/>
    <x v="0"/>
    <x v="0"/>
    <n v="3"/>
    <n v="15.5581485803189"/>
  </r>
  <r>
    <n v="17.309999999999999"/>
    <n v="3.5"/>
    <s v="Female"/>
    <x v="0"/>
    <x v="0"/>
    <x v="0"/>
    <n v="2"/>
    <n v="20.219526285384099"/>
  </r>
  <r>
    <n v="29.93"/>
    <n v="5.07"/>
    <s v="Male"/>
    <x v="0"/>
    <x v="0"/>
    <x v="0"/>
    <n v="4"/>
    <n v="16.939525559639101"/>
  </r>
  <r>
    <n v="10.65"/>
    <n v="1.5"/>
    <s v="Female"/>
    <x v="0"/>
    <x v="2"/>
    <x v="1"/>
    <n v="2"/>
    <n v="14.084507042253501"/>
  </r>
  <r>
    <n v="12.43"/>
    <n v="1.8"/>
    <s v="Female"/>
    <x v="0"/>
    <x v="2"/>
    <x v="1"/>
    <n v="2"/>
    <n v="14.481094127111801"/>
  </r>
  <r>
    <n v="24.08"/>
    <n v="2.92"/>
    <s v="Female"/>
    <x v="0"/>
    <x v="2"/>
    <x v="1"/>
    <n v="4"/>
    <n v="12.126245847176"/>
  </r>
  <r>
    <n v="11.69"/>
    <n v="2.31"/>
    <s v="Male"/>
    <x v="0"/>
    <x v="2"/>
    <x v="1"/>
    <n v="2"/>
    <n v="19.760479041916099"/>
  </r>
  <r>
    <n v="13.42"/>
    <n v="1.68"/>
    <s v="Female"/>
    <x v="0"/>
    <x v="2"/>
    <x v="1"/>
    <n v="2"/>
    <n v="12.518628912071501"/>
  </r>
  <r>
    <n v="14.26"/>
    <n v="2.5"/>
    <s v="Male"/>
    <x v="0"/>
    <x v="2"/>
    <x v="1"/>
    <n v="2"/>
    <n v="17.531556802244001"/>
  </r>
  <r>
    <n v="15.95"/>
    <n v="2"/>
    <s v="Male"/>
    <x v="0"/>
    <x v="2"/>
    <x v="1"/>
    <n v="2"/>
    <n v="12.539184952977999"/>
  </r>
  <r>
    <n v="12.48"/>
    <n v="2.52"/>
    <s v="Female"/>
    <x v="0"/>
    <x v="2"/>
    <x v="1"/>
    <n v="2"/>
    <n v="20.192307692307601"/>
  </r>
  <r>
    <n v="29.8"/>
    <n v="4.2"/>
    <s v="Female"/>
    <x v="0"/>
    <x v="2"/>
    <x v="1"/>
    <n v="6"/>
    <n v="14.093959731543601"/>
  </r>
  <r>
    <n v="8.52"/>
    <n v="1.48"/>
    <s v="Male"/>
    <x v="0"/>
    <x v="2"/>
    <x v="1"/>
    <n v="2"/>
    <n v="17.370892018779301"/>
  </r>
  <r>
    <n v="14.52"/>
    <n v="2"/>
    <s v="Female"/>
    <x v="0"/>
    <x v="2"/>
    <x v="1"/>
    <n v="2"/>
    <n v="13.7741046831955"/>
  </r>
  <r>
    <n v="11.38"/>
    <n v="2"/>
    <s v="Female"/>
    <x v="0"/>
    <x v="2"/>
    <x v="1"/>
    <n v="2"/>
    <n v="17.574692442882199"/>
  </r>
  <r>
    <n v="22.82"/>
    <n v="2.1800000000000002"/>
    <s v="Male"/>
    <x v="0"/>
    <x v="2"/>
    <x v="1"/>
    <n v="3"/>
    <n v="9.5530236634531107"/>
  </r>
  <r>
    <n v="19.079999999999998"/>
    <n v="1.5"/>
    <s v="Male"/>
    <x v="0"/>
    <x v="2"/>
    <x v="1"/>
    <n v="2"/>
    <n v="7.8616352201257804"/>
  </r>
  <r>
    <n v="20.27"/>
    <n v="2.83"/>
    <s v="Female"/>
    <x v="0"/>
    <x v="2"/>
    <x v="1"/>
    <n v="2"/>
    <n v="13.961519486926401"/>
  </r>
  <r>
    <n v="11.17"/>
    <n v="1.5"/>
    <s v="Female"/>
    <x v="0"/>
    <x v="2"/>
    <x v="1"/>
    <n v="2"/>
    <n v="13.428827215756399"/>
  </r>
  <r>
    <n v="12.26"/>
    <n v="2"/>
    <s v="Female"/>
    <x v="0"/>
    <x v="2"/>
    <x v="1"/>
    <n v="2"/>
    <n v="16.3132137030995"/>
  </r>
  <r>
    <n v="18.260000000000002"/>
    <n v="3.25"/>
    <s v="Female"/>
    <x v="0"/>
    <x v="2"/>
    <x v="1"/>
    <n v="2"/>
    <n v="17.798466593647301"/>
  </r>
  <r>
    <n v="8.51"/>
    <n v="1.25"/>
    <s v="Female"/>
    <x v="0"/>
    <x v="2"/>
    <x v="1"/>
    <n v="2"/>
    <n v="14.688601645123301"/>
  </r>
  <r>
    <n v="10.33"/>
    <n v="2"/>
    <s v="Female"/>
    <x v="0"/>
    <x v="2"/>
    <x v="1"/>
    <n v="2"/>
    <n v="19.3610842207163"/>
  </r>
  <r>
    <n v="14.15"/>
    <n v="2"/>
    <s v="Female"/>
    <x v="0"/>
    <x v="2"/>
    <x v="1"/>
    <n v="2"/>
    <n v="14.134275618374501"/>
  </r>
  <r>
    <n v="16"/>
    <n v="2"/>
    <s v="Male"/>
    <x v="1"/>
    <x v="2"/>
    <x v="1"/>
    <n v="2"/>
    <n v="12.5"/>
  </r>
  <r>
    <n v="13.16"/>
    <n v="2.75"/>
    <s v="Female"/>
    <x v="0"/>
    <x v="2"/>
    <x v="1"/>
    <n v="2"/>
    <n v="20.896656534954399"/>
  </r>
  <r>
    <n v="17.47"/>
    <n v="3.5"/>
    <s v="Female"/>
    <x v="0"/>
    <x v="2"/>
    <x v="1"/>
    <n v="2"/>
    <n v="20.034344590726899"/>
  </r>
  <r>
    <n v="34.299999999999997"/>
    <n v="6.7"/>
    <s v="Male"/>
    <x v="0"/>
    <x v="2"/>
    <x v="1"/>
    <n v="6"/>
    <n v="19.533527696793001"/>
  </r>
  <r>
    <n v="41.19"/>
    <n v="5"/>
    <s v="Male"/>
    <x v="0"/>
    <x v="2"/>
    <x v="1"/>
    <n v="5"/>
    <n v="12.138868657441099"/>
  </r>
  <r>
    <n v="27.05"/>
    <n v="5"/>
    <s v="Female"/>
    <x v="0"/>
    <x v="2"/>
    <x v="1"/>
    <n v="6"/>
    <n v="18.4842883548983"/>
  </r>
  <r>
    <n v="16.43"/>
    <n v="2.2999999999999998"/>
    <s v="Female"/>
    <x v="0"/>
    <x v="2"/>
    <x v="1"/>
    <n v="2"/>
    <n v="13.9987827145465"/>
  </r>
  <r>
    <n v="8.35"/>
    <n v="1.5"/>
    <s v="Female"/>
    <x v="0"/>
    <x v="2"/>
    <x v="1"/>
    <n v="2"/>
    <n v="17.964071856287401"/>
  </r>
  <r>
    <n v="18.64"/>
    <n v="1.36"/>
    <s v="Female"/>
    <x v="0"/>
    <x v="2"/>
    <x v="1"/>
    <n v="3"/>
    <n v="7.2961373390557904"/>
  </r>
  <r>
    <n v="11.87"/>
    <n v="1.63"/>
    <s v="Female"/>
    <x v="0"/>
    <x v="2"/>
    <x v="1"/>
    <n v="2"/>
    <n v="13.732097725358001"/>
  </r>
  <r>
    <n v="9.7799999999999994"/>
    <n v="1.73"/>
    <s v="Male"/>
    <x v="0"/>
    <x v="2"/>
    <x v="1"/>
    <n v="2"/>
    <n v="17.6891615541922"/>
  </r>
  <r>
    <n v="7.51"/>
    <n v="2"/>
    <s v="Male"/>
    <x v="0"/>
    <x v="2"/>
    <x v="1"/>
    <n v="2"/>
    <n v="26.6311584553928"/>
  </r>
  <r>
    <n v="14.07"/>
    <n v="2.5"/>
    <s v="Male"/>
    <x v="0"/>
    <x v="0"/>
    <x v="0"/>
    <n v="2"/>
    <n v="17.7683013503909"/>
  </r>
  <r>
    <n v="13.13"/>
    <n v="2"/>
    <s v="Male"/>
    <x v="0"/>
    <x v="0"/>
    <x v="0"/>
    <n v="2"/>
    <n v="15.2322924600152"/>
  </r>
  <r>
    <n v="17.260000000000002"/>
    <n v="2.74"/>
    <s v="Male"/>
    <x v="0"/>
    <x v="0"/>
    <x v="0"/>
    <n v="3"/>
    <n v="15.874855156431"/>
  </r>
  <r>
    <n v="24.55"/>
    <n v="2"/>
    <s v="Male"/>
    <x v="0"/>
    <x v="0"/>
    <x v="0"/>
    <n v="4"/>
    <n v="8.1466395112016201"/>
  </r>
  <r>
    <n v="19.77"/>
    <n v="2"/>
    <s v="Male"/>
    <x v="0"/>
    <x v="0"/>
    <x v="0"/>
    <n v="4"/>
    <n v="10.116337885685301"/>
  </r>
  <r>
    <n v="29.85"/>
    <n v="5.14"/>
    <s v="Female"/>
    <x v="0"/>
    <x v="0"/>
    <x v="0"/>
    <n v="5"/>
    <n v="17.2194304857621"/>
  </r>
  <r>
    <n v="48.17"/>
    <n v="5"/>
    <s v="Male"/>
    <x v="0"/>
    <x v="0"/>
    <x v="0"/>
    <n v="6"/>
    <n v="10.3799045048785"/>
  </r>
  <r>
    <n v="25"/>
    <n v="3.75"/>
    <s v="Female"/>
    <x v="0"/>
    <x v="0"/>
    <x v="0"/>
    <n v="4"/>
    <n v="15"/>
  </r>
  <r>
    <n v="13.39"/>
    <n v="2.61"/>
    <s v="Female"/>
    <x v="0"/>
    <x v="0"/>
    <x v="0"/>
    <n v="2"/>
    <n v="19.492158327109699"/>
  </r>
  <r>
    <n v="16.489999999999998"/>
    <n v="2"/>
    <s v="Male"/>
    <x v="0"/>
    <x v="0"/>
    <x v="0"/>
    <n v="4"/>
    <n v="12.128562765312299"/>
  </r>
  <r>
    <n v="21.5"/>
    <n v="3.5"/>
    <s v="Male"/>
    <x v="0"/>
    <x v="0"/>
    <x v="0"/>
    <n v="4"/>
    <n v="16.279069767441801"/>
  </r>
  <r>
    <n v="12.66"/>
    <n v="2.5"/>
    <s v="Male"/>
    <x v="0"/>
    <x v="0"/>
    <x v="0"/>
    <n v="2"/>
    <n v="19.747235387045802"/>
  </r>
  <r>
    <n v="16.21"/>
    <n v="2"/>
    <s v="Female"/>
    <x v="0"/>
    <x v="0"/>
    <x v="0"/>
    <n v="3"/>
    <n v="12.3380629241209"/>
  </r>
  <r>
    <n v="13.81"/>
    <n v="2"/>
    <s v="Male"/>
    <x v="0"/>
    <x v="0"/>
    <x v="0"/>
    <n v="2"/>
    <n v="14.4822592324402"/>
  </r>
  <r>
    <n v="17.510000000000002"/>
    <n v="3"/>
    <s v="Female"/>
    <x v="1"/>
    <x v="0"/>
    <x v="0"/>
    <n v="2"/>
    <n v="17.133066818960501"/>
  </r>
  <r>
    <n v="24.52"/>
    <n v="3.48"/>
    <s v="Male"/>
    <x v="0"/>
    <x v="0"/>
    <x v="0"/>
    <n v="3"/>
    <n v="14.1924959216965"/>
  </r>
  <r>
    <n v="20.76"/>
    <n v="2.2400000000000002"/>
    <s v="Male"/>
    <x v="0"/>
    <x v="0"/>
    <x v="0"/>
    <n v="2"/>
    <n v="10.789980732177201"/>
  </r>
  <r>
    <n v="31.71"/>
    <n v="4.5"/>
    <s v="Male"/>
    <x v="0"/>
    <x v="0"/>
    <x v="0"/>
    <n v="4"/>
    <n v="14.1911069063386"/>
  </r>
  <r>
    <n v="10.59"/>
    <n v="1.61"/>
    <s v="Female"/>
    <x v="1"/>
    <x v="1"/>
    <x v="0"/>
    <n v="2"/>
    <n v="15.2030217186024"/>
  </r>
  <r>
    <n v="10.63"/>
    <n v="2"/>
    <s v="Female"/>
    <x v="1"/>
    <x v="1"/>
    <x v="0"/>
    <n v="2"/>
    <n v="18.814675446848501"/>
  </r>
  <r>
    <n v="50.81"/>
    <n v="10"/>
    <s v="Male"/>
    <x v="1"/>
    <x v="1"/>
    <x v="0"/>
    <n v="3"/>
    <n v="19.681165124975301"/>
  </r>
  <r>
    <n v="15.81"/>
    <n v="3.16"/>
    <s v="Male"/>
    <x v="1"/>
    <x v="1"/>
    <x v="0"/>
    <n v="2"/>
    <n v="19.987349778621098"/>
  </r>
  <r>
    <n v="7.25"/>
    <n v="5.15"/>
    <s v="Male"/>
    <x v="1"/>
    <x v="0"/>
    <x v="0"/>
    <n v="2"/>
    <n v="71.034482758620697"/>
  </r>
  <r>
    <n v="31.85"/>
    <n v="3.18"/>
    <s v="Male"/>
    <x v="1"/>
    <x v="0"/>
    <x v="0"/>
    <n v="2"/>
    <n v="9.9843014128728402"/>
  </r>
  <r>
    <n v="16.82"/>
    <n v="4"/>
    <s v="Male"/>
    <x v="1"/>
    <x v="0"/>
    <x v="0"/>
    <n v="2"/>
    <n v="23.781212841854899"/>
  </r>
  <r>
    <n v="32.9"/>
    <n v="3.11"/>
    <s v="Male"/>
    <x v="1"/>
    <x v="0"/>
    <x v="0"/>
    <n v="2"/>
    <n v="9.4528875379939201"/>
  </r>
  <r>
    <n v="17.89"/>
    <n v="2"/>
    <s v="Male"/>
    <x v="1"/>
    <x v="0"/>
    <x v="0"/>
    <n v="2"/>
    <n v="11.1794298490776"/>
  </r>
  <r>
    <n v="14.48"/>
    <n v="2"/>
    <s v="Male"/>
    <x v="1"/>
    <x v="0"/>
    <x v="0"/>
    <n v="2"/>
    <n v="13.812154696132501"/>
  </r>
  <r>
    <n v="9.6"/>
    <n v="4"/>
    <s v="Female"/>
    <x v="1"/>
    <x v="0"/>
    <x v="0"/>
    <n v="2"/>
    <n v="41.6666666666666"/>
  </r>
  <r>
    <n v="34.630000000000003"/>
    <n v="3.55"/>
    <s v="Male"/>
    <x v="1"/>
    <x v="0"/>
    <x v="0"/>
    <n v="2"/>
    <n v="10.251227259601499"/>
  </r>
  <r>
    <n v="34.65"/>
    <n v="3.68"/>
    <s v="Male"/>
    <x v="1"/>
    <x v="0"/>
    <x v="0"/>
    <n v="4"/>
    <n v="10.6204906204906"/>
  </r>
  <r>
    <n v="23.33"/>
    <n v="5.65"/>
    <s v="Male"/>
    <x v="1"/>
    <x v="0"/>
    <x v="0"/>
    <n v="2"/>
    <n v="24.2177453921988"/>
  </r>
  <r>
    <n v="45.35"/>
    <n v="3.5"/>
    <s v="Male"/>
    <x v="1"/>
    <x v="0"/>
    <x v="0"/>
    <n v="3"/>
    <n v="7.7177508269018702"/>
  </r>
  <r>
    <n v="23.17"/>
    <n v="6.5"/>
    <s v="Male"/>
    <x v="1"/>
    <x v="0"/>
    <x v="0"/>
    <n v="4"/>
    <n v="28.053517479499298"/>
  </r>
  <r>
    <n v="40.549999999999997"/>
    <n v="3"/>
    <s v="Male"/>
    <x v="1"/>
    <x v="0"/>
    <x v="0"/>
    <n v="2"/>
    <n v="7.39827373612823"/>
  </r>
  <r>
    <n v="20.69"/>
    <n v="5"/>
    <s v="Male"/>
    <x v="0"/>
    <x v="0"/>
    <x v="0"/>
    <n v="5"/>
    <n v="24.166263895601698"/>
  </r>
  <r>
    <n v="20.9"/>
    <n v="3.5"/>
    <s v="Female"/>
    <x v="1"/>
    <x v="0"/>
    <x v="0"/>
    <n v="3"/>
    <n v="16.7464114832535"/>
  </r>
  <r>
    <n v="30.46"/>
    <n v="2"/>
    <s v="Male"/>
    <x v="1"/>
    <x v="0"/>
    <x v="0"/>
    <n v="5"/>
    <n v="6.5659881812212699"/>
  </r>
  <r>
    <n v="18.149999999999999"/>
    <n v="3.5"/>
    <s v="Female"/>
    <x v="1"/>
    <x v="0"/>
    <x v="0"/>
    <n v="3"/>
    <n v="19.283746556473801"/>
  </r>
  <r>
    <n v="23.1"/>
    <n v="4"/>
    <s v="Male"/>
    <x v="1"/>
    <x v="0"/>
    <x v="0"/>
    <n v="3"/>
    <n v="17.316017316017302"/>
  </r>
  <r>
    <n v="15.69"/>
    <n v="1.5"/>
    <s v="Male"/>
    <x v="1"/>
    <x v="0"/>
    <x v="0"/>
    <n v="2"/>
    <n v="9.5602294455066907"/>
  </r>
  <r>
    <n v="19.809999999999999"/>
    <n v="4.1900000000000004"/>
    <s v="Female"/>
    <x v="1"/>
    <x v="2"/>
    <x v="1"/>
    <n v="2"/>
    <n v="21.150933871781898"/>
  </r>
  <r>
    <n v="28.44"/>
    <n v="2.56"/>
    <s v="Male"/>
    <x v="1"/>
    <x v="2"/>
    <x v="1"/>
    <n v="2"/>
    <n v="9.0014064697608998"/>
  </r>
  <r>
    <n v="15.48"/>
    <n v="2.02"/>
    <s v="Male"/>
    <x v="1"/>
    <x v="2"/>
    <x v="1"/>
    <n v="2"/>
    <n v="13.049095607235101"/>
  </r>
  <r>
    <n v="16.579999999999998"/>
    <n v="4"/>
    <s v="Male"/>
    <x v="1"/>
    <x v="2"/>
    <x v="1"/>
    <n v="2"/>
    <n v="24.125452352231601"/>
  </r>
  <r>
    <n v="7.56"/>
    <n v="1.44"/>
    <s v="Male"/>
    <x v="0"/>
    <x v="2"/>
    <x v="1"/>
    <n v="2"/>
    <n v="19.047619047619001"/>
  </r>
  <r>
    <n v="10.34"/>
    <n v="2"/>
    <s v="Male"/>
    <x v="1"/>
    <x v="2"/>
    <x v="1"/>
    <n v="2"/>
    <n v="19.342359767891601"/>
  </r>
  <r>
    <n v="43.11"/>
    <n v="5"/>
    <s v="Female"/>
    <x v="1"/>
    <x v="2"/>
    <x v="1"/>
    <n v="4"/>
    <n v="11.5982370679656"/>
  </r>
  <r>
    <n v="13"/>
    <n v="2"/>
    <s v="Female"/>
    <x v="1"/>
    <x v="2"/>
    <x v="1"/>
    <n v="2"/>
    <n v="15.3846153846153"/>
  </r>
  <r>
    <n v="13.51"/>
    <n v="2"/>
    <s v="Male"/>
    <x v="1"/>
    <x v="2"/>
    <x v="1"/>
    <n v="2"/>
    <n v="14.803849000740099"/>
  </r>
  <r>
    <n v="18.71"/>
    <n v="4"/>
    <s v="Male"/>
    <x v="1"/>
    <x v="2"/>
    <x v="1"/>
    <n v="3"/>
    <n v="21.378941742383699"/>
  </r>
  <r>
    <n v="12.74"/>
    <n v="2.0099999999999998"/>
    <s v="Female"/>
    <x v="1"/>
    <x v="2"/>
    <x v="1"/>
    <n v="2"/>
    <n v="15.777080062794299"/>
  </r>
  <r>
    <n v="13"/>
    <n v="2"/>
    <s v="Female"/>
    <x v="1"/>
    <x v="2"/>
    <x v="1"/>
    <n v="2"/>
    <n v="15.3846153846153"/>
  </r>
  <r>
    <n v="16.399999999999999"/>
    <n v="2.5"/>
    <s v="Female"/>
    <x v="1"/>
    <x v="2"/>
    <x v="1"/>
    <n v="2"/>
    <n v="15.2439024390243"/>
  </r>
  <r>
    <n v="20.53"/>
    <n v="4"/>
    <s v="Male"/>
    <x v="1"/>
    <x v="2"/>
    <x v="1"/>
    <n v="4"/>
    <n v="19.483682415976599"/>
  </r>
  <r>
    <n v="16.47"/>
    <n v="3.23"/>
    <s v="Female"/>
    <x v="1"/>
    <x v="2"/>
    <x v="1"/>
    <n v="3"/>
    <n v="19.611414693381899"/>
  </r>
  <r>
    <n v="26.59"/>
    <n v="3.41"/>
    <s v="Male"/>
    <x v="1"/>
    <x v="1"/>
    <x v="0"/>
    <n v="3"/>
    <n v="12.824370063933801"/>
  </r>
  <r>
    <n v="38.729999999999997"/>
    <n v="3"/>
    <s v="Male"/>
    <x v="1"/>
    <x v="1"/>
    <x v="0"/>
    <n v="4"/>
    <n v="7.74593338497289"/>
  </r>
  <r>
    <n v="24.27"/>
    <n v="2.0299999999999998"/>
    <s v="Male"/>
    <x v="1"/>
    <x v="1"/>
    <x v="0"/>
    <n v="2"/>
    <n v="8.3642356819118202"/>
  </r>
  <r>
    <n v="12.76"/>
    <n v="2.23"/>
    <s v="Female"/>
    <x v="1"/>
    <x v="1"/>
    <x v="0"/>
    <n v="2"/>
    <n v="17.476489028213098"/>
  </r>
  <r>
    <n v="30.06"/>
    <n v="2"/>
    <s v="Male"/>
    <x v="1"/>
    <x v="1"/>
    <x v="0"/>
    <n v="3"/>
    <n v="6.6533599467731204"/>
  </r>
  <r>
    <n v="25.89"/>
    <n v="5.16"/>
    <s v="Male"/>
    <x v="1"/>
    <x v="1"/>
    <x v="0"/>
    <n v="4"/>
    <n v="19.9304750869061"/>
  </r>
  <r>
    <n v="48.33"/>
    <n v="9"/>
    <s v="Male"/>
    <x v="0"/>
    <x v="1"/>
    <x v="0"/>
    <n v="4"/>
    <n v="18.6219739292365"/>
  </r>
  <r>
    <n v="13.27"/>
    <n v="2.5"/>
    <s v="Female"/>
    <x v="1"/>
    <x v="1"/>
    <x v="0"/>
    <n v="2"/>
    <n v="18.8394875659382"/>
  </r>
  <r>
    <n v="28.17"/>
    <n v="6.5"/>
    <s v="Female"/>
    <x v="1"/>
    <x v="1"/>
    <x v="0"/>
    <n v="3"/>
    <n v="23.074192403265801"/>
  </r>
  <r>
    <n v="12.9"/>
    <n v="1.1000000000000001"/>
    <s v="Female"/>
    <x v="1"/>
    <x v="1"/>
    <x v="0"/>
    <n v="2"/>
    <n v="8.5271317829457303"/>
  </r>
  <r>
    <n v="28.15"/>
    <n v="3"/>
    <s v="Male"/>
    <x v="1"/>
    <x v="1"/>
    <x v="0"/>
    <n v="5"/>
    <n v="10.657193605683799"/>
  </r>
  <r>
    <n v="11.59"/>
    <n v="1.5"/>
    <s v="Male"/>
    <x v="1"/>
    <x v="1"/>
    <x v="0"/>
    <n v="2"/>
    <n v="12.942191544434801"/>
  </r>
  <r>
    <n v="7.74"/>
    <n v="1.44"/>
    <s v="Male"/>
    <x v="1"/>
    <x v="1"/>
    <x v="0"/>
    <n v="2"/>
    <n v="18.604651162790699"/>
  </r>
  <r>
    <n v="30.14"/>
    <n v="3.09"/>
    <s v="Female"/>
    <x v="1"/>
    <x v="1"/>
    <x v="0"/>
    <n v="4"/>
    <n v="10.252156602521501"/>
  </r>
  <r>
    <n v="12.16"/>
    <n v="2.2000000000000002"/>
    <s v="Male"/>
    <x v="1"/>
    <x v="3"/>
    <x v="1"/>
    <n v="2"/>
    <n v="18.092105263157801"/>
  </r>
  <r>
    <n v="13.42"/>
    <n v="3.48"/>
    <s v="Female"/>
    <x v="1"/>
    <x v="3"/>
    <x v="1"/>
    <n v="2"/>
    <n v="25.931445603576702"/>
  </r>
  <r>
    <n v="8.58"/>
    <n v="1.92"/>
    <s v="Male"/>
    <x v="1"/>
    <x v="3"/>
    <x v="1"/>
    <n v="1"/>
    <n v="22.377622377622298"/>
  </r>
  <r>
    <n v="15.98"/>
    <n v="3"/>
    <s v="Female"/>
    <x v="0"/>
    <x v="3"/>
    <x v="1"/>
    <n v="3"/>
    <n v="18.773466833541899"/>
  </r>
  <r>
    <n v="13.42"/>
    <n v="1.58"/>
    <s v="Male"/>
    <x v="1"/>
    <x v="3"/>
    <x v="1"/>
    <n v="2"/>
    <n v="11.7734724292101"/>
  </r>
  <r>
    <n v="16.27"/>
    <n v="2.5"/>
    <s v="Female"/>
    <x v="1"/>
    <x v="3"/>
    <x v="1"/>
    <n v="2"/>
    <n v="15.365703749231701"/>
  </r>
  <r>
    <n v="10.09"/>
    <n v="2"/>
    <s v="Female"/>
    <x v="1"/>
    <x v="3"/>
    <x v="1"/>
    <n v="2"/>
    <n v="19.821605550049501"/>
  </r>
  <r>
    <n v="20.45"/>
    <n v="3"/>
    <s v="Male"/>
    <x v="0"/>
    <x v="1"/>
    <x v="0"/>
    <n v="4"/>
    <n v="14.669926650366699"/>
  </r>
  <r>
    <n v="13.28"/>
    <n v="2.72"/>
    <s v="Male"/>
    <x v="0"/>
    <x v="1"/>
    <x v="0"/>
    <n v="2"/>
    <n v="20.481927710843301"/>
  </r>
  <r>
    <n v="22.12"/>
    <n v="2.88"/>
    <s v="Female"/>
    <x v="1"/>
    <x v="1"/>
    <x v="0"/>
    <n v="2"/>
    <n v="13.0198915009041"/>
  </r>
  <r>
    <n v="24.01"/>
    <n v="2"/>
    <s v="Male"/>
    <x v="1"/>
    <x v="1"/>
    <x v="0"/>
    <n v="4"/>
    <n v="8.3298625572678002"/>
  </r>
  <r>
    <n v="15.69"/>
    <n v="3"/>
    <s v="Male"/>
    <x v="1"/>
    <x v="1"/>
    <x v="0"/>
    <n v="3"/>
    <n v="19.1204588910133"/>
  </r>
  <r>
    <n v="11.61"/>
    <n v="3.39"/>
    <s v="Male"/>
    <x v="0"/>
    <x v="1"/>
    <x v="0"/>
    <n v="2"/>
    <n v="29.198966408268699"/>
  </r>
  <r>
    <n v="10.77"/>
    <n v="1.47"/>
    <s v="Male"/>
    <x v="0"/>
    <x v="1"/>
    <x v="0"/>
    <n v="2"/>
    <n v="13.649025069637799"/>
  </r>
  <r>
    <n v="15.53"/>
    <n v="3"/>
    <s v="Male"/>
    <x v="1"/>
    <x v="1"/>
    <x v="0"/>
    <n v="2"/>
    <n v="19.317450096587201"/>
  </r>
  <r>
    <n v="10.07"/>
    <n v="1.25"/>
    <s v="Male"/>
    <x v="0"/>
    <x v="1"/>
    <x v="0"/>
    <n v="2"/>
    <n v="12.413108242303799"/>
  </r>
  <r>
    <n v="12.6"/>
    <n v="1"/>
    <s v="Male"/>
    <x v="1"/>
    <x v="1"/>
    <x v="0"/>
    <n v="2"/>
    <n v="7.9365079365079296"/>
  </r>
  <r>
    <n v="32.83"/>
    <n v="1.17"/>
    <s v="Male"/>
    <x v="1"/>
    <x v="1"/>
    <x v="0"/>
    <n v="2"/>
    <n v="3.5638135851355401"/>
  </r>
  <r>
    <n v="35.83"/>
    <n v="4.67"/>
    <s v="Female"/>
    <x v="0"/>
    <x v="1"/>
    <x v="0"/>
    <n v="3"/>
    <n v="13.03377058331"/>
  </r>
  <r>
    <n v="29.03"/>
    <n v="5.92"/>
    <s v="Male"/>
    <x v="0"/>
    <x v="1"/>
    <x v="0"/>
    <n v="3"/>
    <n v="20.392697209782899"/>
  </r>
  <r>
    <n v="27.18"/>
    <n v="2"/>
    <s v="Female"/>
    <x v="1"/>
    <x v="1"/>
    <x v="0"/>
    <n v="2"/>
    <n v="7.3583517292126501"/>
  </r>
  <r>
    <n v="22.67"/>
    <n v="2"/>
    <s v="Male"/>
    <x v="1"/>
    <x v="1"/>
    <x v="0"/>
    <n v="2"/>
    <n v="8.8222320247022399"/>
  </r>
  <r>
    <n v="17.82"/>
    <n v="1.75"/>
    <s v="Male"/>
    <x v="0"/>
    <x v="1"/>
    <x v="0"/>
    <n v="2"/>
    <n v="9.8204264870931492"/>
  </r>
  <r>
    <n v="18.78"/>
    <n v="3"/>
    <s v="Female"/>
    <x v="0"/>
    <x v="2"/>
    <x v="0"/>
    <n v="2"/>
    <n v="15.97444089456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 chartFormat="7">
  <location ref="A3:C9" firstHeaderRow="1" firstDataRow="2" firstDataCol="1"/>
  <pivotFields count="8">
    <pivotField showAll="0"/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4"/>
  </rowFields>
  <rowItems count="5">
    <i>
      <x v="2"/>
    </i>
    <i>
      <x v="3"/>
    </i>
    <i>
      <x/>
    </i>
    <i>
      <x v="1"/>
    </i>
    <i t="grand">
      <x/>
    </i>
  </rowItems>
  <colFields count="1">
    <field x="5"/>
  </colFields>
  <colItems count="2">
    <i>
      <x/>
    </i>
    <i>
      <x v="1"/>
    </i>
  </colItems>
  <dataFields count="1">
    <dataField name="Average Tip % by Day and Time" fld="7" subtotal="average" baseField="4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B5" firstHeaderRow="1" firstDataRow="1" firstDataCol="1"/>
  <pivotFields count="8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 Smoker vs Non-Smoker Distribution" fld="3" subtotal="count" baseField="3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9"/>
  <sheetViews>
    <sheetView workbookViewId="0">
      <selection activeCell="B21" sqref="B21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4" width="12" bestFit="1" customWidth="1"/>
  </cols>
  <sheetData>
    <row r="3" spans="1:3" x14ac:dyDescent="0.25">
      <c r="A3" s="1" t="s">
        <v>21</v>
      </c>
      <c r="B3" s="1" t="s">
        <v>20</v>
      </c>
    </row>
    <row r="4" spans="1:3" x14ac:dyDescent="0.25">
      <c r="A4" s="1" t="s">
        <v>18</v>
      </c>
      <c r="B4" t="s">
        <v>16</v>
      </c>
      <c r="C4" t="s">
        <v>11</v>
      </c>
    </row>
    <row r="5" spans="1:3" x14ac:dyDescent="0.25">
      <c r="A5" s="2" t="s">
        <v>17</v>
      </c>
      <c r="B5" s="3">
        <v>18.876488829484288</v>
      </c>
      <c r="C5" s="3">
        <v>15.891611065601566</v>
      </c>
    </row>
    <row r="6" spans="1:3" x14ac:dyDescent="0.25">
      <c r="A6" s="2" t="s">
        <v>10</v>
      </c>
      <c r="B6" s="3"/>
      <c r="C6" s="3">
        <v>16.689728635113415</v>
      </c>
    </row>
    <row r="7" spans="1:3" x14ac:dyDescent="0.25">
      <c r="A7" s="2" t="s">
        <v>15</v>
      </c>
      <c r="B7" s="3">
        <v>16.13007360161706</v>
      </c>
      <c r="C7" s="3">
        <v>15.9744408945686</v>
      </c>
    </row>
    <row r="8" spans="1:3" x14ac:dyDescent="0.25">
      <c r="A8" s="2" t="s">
        <v>13</v>
      </c>
      <c r="B8" s="3"/>
      <c r="C8" s="3">
        <v>15.315171638777773</v>
      </c>
    </row>
    <row r="9" spans="1:3" x14ac:dyDescent="0.25">
      <c r="A9" s="2" t="s">
        <v>19</v>
      </c>
      <c r="B9" s="3">
        <v>16.412792816250459</v>
      </c>
      <c r="C9" s="3">
        <v>15.951778877977699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5"/>
  <sheetViews>
    <sheetView workbookViewId="0">
      <selection activeCell="I20" sqref="I20"/>
    </sheetView>
  </sheetViews>
  <sheetFormatPr defaultRowHeight="15" x14ac:dyDescent="0.25"/>
  <cols>
    <col min="1" max="1" width="13.140625" bestFit="1" customWidth="1"/>
    <col min="2" max="2" width="33.85546875" bestFit="1" customWidth="1"/>
  </cols>
  <sheetData>
    <row r="3" spans="1:2" x14ac:dyDescent="0.25">
      <c r="A3" s="1" t="s">
        <v>18</v>
      </c>
      <c r="B3" t="s">
        <v>22</v>
      </c>
    </row>
    <row r="4" spans="1:2" x14ac:dyDescent="0.25">
      <c r="A4" s="2" t="s">
        <v>9</v>
      </c>
      <c r="B4" s="3">
        <v>151</v>
      </c>
    </row>
    <row r="5" spans="1:2" x14ac:dyDescent="0.25">
      <c r="A5" s="2" t="s">
        <v>14</v>
      </c>
      <c r="B5" s="3">
        <v>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5"/>
  <sheetViews>
    <sheetView topLeftCell="I1" workbookViewId="0">
      <selection activeCell="M16" sqref="M16"/>
    </sheetView>
  </sheetViews>
  <sheetFormatPr defaultRowHeight="15" x14ac:dyDescent="0.25"/>
  <cols>
    <col min="8" max="8" width="14.5703125" bestFit="1" customWidth="1"/>
    <col min="9" max="9" width="11" customWidth="1"/>
    <col min="10" max="10" width="10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>
        <v>16.989999999999998</v>
      </c>
      <c r="B2">
        <v>1.01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5.9446733372572096</v>
      </c>
      <c r="I2">
        <f>IF($C2="Female",$A2,NA())</f>
        <v>16.989999999999998</v>
      </c>
      <c r="J2">
        <f>IF($C2="Female",$B2,NA())</f>
        <v>1.01</v>
      </c>
      <c r="K2" t="e">
        <f>IF($C2="Male",$A2,NA())</f>
        <v>#N/A</v>
      </c>
      <c r="L2" t="e">
        <f>IF($C2="Male",$B2,NA())</f>
        <v>#N/A</v>
      </c>
    </row>
    <row r="3" spans="1:12" x14ac:dyDescent="0.25">
      <c r="A3">
        <v>10.34</v>
      </c>
      <c r="B3">
        <v>1.66</v>
      </c>
      <c r="C3" t="s">
        <v>12</v>
      </c>
      <c r="D3" t="s">
        <v>9</v>
      </c>
      <c r="E3" t="s">
        <v>10</v>
      </c>
      <c r="F3" t="s">
        <v>11</v>
      </c>
      <c r="G3">
        <v>3</v>
      </c>
      <c r="H3">
        <v>16.054158607350001</v>
      </c>
      <c r="I3" t="e">
        <f t="shared" ref="I3:I66" si="0">IF($C3="Female",$A3,NA())</f>
        <v>#N/A</v>
      </c>
      <c r="J3" t="e">
        <f t="shared" ref="J3:J66" si="1">IF($C3="Female",$B3,NA())</f>
        <v>#N/A</v>
      </c>
      <c r="K3">
        <f t="shared" ref="K3:K66" si="2">IF($C3="Male",$A3,NA())</f>
        <v>10.34</v>
      </c>
      <c r="L3">
        <f t="shared" ref="L3:L66" si="3">IF($C3="Male",$B3,NA())</f>
        <v>1.66</v>
      </c>
    </row>
    <row r="4" spans="1:12" x14ac:dyDescent="0.25">
      <c r="A4">
        <v>21.01</v>
      </c>
      <c r="B4">
        <v>3.5</v>
      </c>
      <c r="C4" t="s">
        <v>12</v>
      </c>
      <c r="D4" t="s">
        <v>9</v>
      </c>
      <c r="E4" t="s">
        <v>10</v>
      </c>
      <c r="F4" t="s">
        <v>11</v>
      </c>
      <c r="G4">
        <v>3</v>
      </c>
      <c r="H4">
        <v>16.658733936220798</v>
      </c>
      <c r="I4" t="e">
        <f t="shared" si="0"/>
        <v>#N/A</v>
      </c>
      <c r="J4" t="e">
        <f t="shared" si="1"/>
        <v>#N/A</v>
      </c>
      <c r="K4">
        <f t="shared" si="2"/>
        <v>21.01</v>
      </c>
      <c r="L4">
        <f t="shared" si="3"/>
        <v>3.5</v>
      </c>
    </row>
    <row r="5" spans="1:12" x14ac:dyDescent="0.25">
      <c r="A5">
        <v>23.68</v>
      </c>
      <c r="B5">
        <v>3.31</v>
      </c>
      <c r="C5" t="s">
        <v>12</v>
      </c>
      <c r="D5" t="s">
        <v>9</v>
      </c>
      <c r="E5" t="s">
        <v>10</v>
      </c>
      <c r="F5" t="s">
        <v>11</v>
      </c>
      <c r="G5">
        <v>2</v>
      </c>
      <c r="H5">
        <v>13.978040540540499</v>
      </c>
      <c r="I5" t="e">
        <f t="shared" si="0"/>
        <v>#N/A</v>
      </c>
      <c r="J5" t="e">
        <f t="shared" si="1"/>
        <v>#N/A</v>
      </c>
      <c r="K5">
        <f t="shared" si="2"/>
        <v>23.68</v>
      </c>
      <c r="L5">
        <f t="shared" si="3"/>
        <v>3.31</v>
      </c>
    </row>
    <row r="6" spans="1:12" x14ac:dyDescent="0.25">
      <c r="A6">
        <v>24.59</v>
      </c>
      <c r="B6">
        <v>3.61</v>
      </c>
      <c r="C6" t="s">
        <v>8</v>
      </c>
      <c r="D6" t="s">
        <v>9</v>
      </c>
      <c r="E6" t="s">
        <v>10</v>
      </c>
      <c r="F6" t="s">
        <v>11</v>
      </c>
      <c r="G6">
        <v>4</v>
      </c>
      <c r="H6">
        <v>14.6807645384302</v>
      </c>
      <c r="I6">
        <f t="shared" si="0"/>
        <v>24.59</v>
      </c>
      <c r="J6">
        <f t="shared" si="1"/>
        <v>3.61</v>
      </c>
      <c r="K6" t="e">
        <f t="shared" si="2"/>
        <v>#N/A</v>
      </c>
      <c r="L6" t="e">
        <f t="shared" si="3"/>
        <v>#N/A</v>
      </c>
    </row>
    <row r="7" spans="1:12" x14ac:dyDescent="0.25">
      <c r="A7">
        <v>25.29</v>
      </c>
      <c r="B7">
        <v>4.71</v>
      </c>
      <c r="C7" t="s">
        <v>12</v>
      </c>
      <c r="D7" t="s">
        <v>9</v>
      </c>
      <c r="E7" t="s">
        <v>10</v>
      </c>
      <c r="F7" t="s">
        <v>11</v>
      </c>
      <c r="G7">
        <v>4</v>
      </c>
      <c r="H7">
        <v>18.623962040332099</v>
      </c>
      <c r="I7" t="e">
        <f t="shared" si="0"/>
        <v>#N/A</v>
      </c>
      <c r="J7" t="e">
        <f t="shared" si="1"/>
        <v>#N/A</v>
      </c>
      <c r="K7">
        <f t="shared" si="2"/>
        <v>25.29</v>
      </c>
      <c r="L7">
        <f t="shared" si="3"/>
        <v>4.71</v>
      </c>
    </row>
    <row r="8" spans="1:12" x14ac:dyDescent="0.25">
      <c r="A8">
        <v>8.77</v>
      </c>
      <c r="B8">
        <v>2</v>
      </c>
      <c r="C8" t="s">
        <v>12</v>
      </c>
      <c r="D8" t="s">
        <v>9</v>
      </c>
      <c r="E8" t="s">
        <v>10</v>
      </c>
      <c r="F8" t="s">
        <v>11</v>
      </c>
      <c r="G8">
        <v>2</v>
      </c>
      <c r="H8">
        <v>22.8050171037628</v>
      </c>
      <c r="I8" t="e">
        <f t="shared" si="0"/>
        <v>#N/A</v>
      </c>
      <c r="J8" t="e">
        <f t="shared" si="1"/>
        <v>#N/A</v>
      </c>
      <c r="K8">
        <f t="shared" si="2"/>
        <v>8.77</v>
      </c>
      <c r="L8">
        <f t="shared" si="3"/>
        <v>2</v>
      </c>
    </row>
    <row r="9" spans="1:12" x14ac:dyDescent="0.25">
      <c r="A9">
        <v>26.88</v>
      </c>
      <c r="B9">
        <v>3.12</v>
      </c>
      <c r="C9" t="s">
        <v>12</v>
      </c>
      <c r="D9" t="s">
        <v>9</v>
      </c>
      <c r="E9" t="s">
        <v>10</v>
      </c>
      <c r="F9" t="s">
        <v>11</v>
      </c>
      <c r="G9">
        <v>4</v>
      </c>
      <c r="H9">
        <v>11.607142857142801</v>
      </c>
      <c r="I9" t="e">
        <f t="shared" si="0"/>
        <v>#N/A</v>
      </c>
      <c r="J9" t="e">
        <f t="shared" si="1"/>
        <v>#N/A</v>
      </c>
      <c r="K9">
        <f t="shared" si="2"/>
        <v>26.88</v>
      </c>
      <c r="L9">
        <f t="shared" si="3"/>
        <v>3.12</v>
      </c>
    </row>
    <row r="10" spans="1:12" x14ac:dyDescent="0.25">
      <c r="A10">
        <v>15.04</v>
      </c>
      <c r="B10">
        <v>1.96</v>
      </c>
      <c r="C10" t="s">
        <v>12</v>
      </c>
      <c r="D10" t="s">
        <v>9</v>
      </c>
      <c r="E10" t="s">
        <v>10</v>
      </c>
      <c r="F10" t="s">
        <v>11</v>
      </c>
      <c r="G10">
        <v>2</v>
      </c>
      <c r="H10">
        <v>13.031914893617</v>
      </c>
      <c r="I10" t="e">
        <f t="shared" si="0"/>
        <v>#N/A</v>
      </c>
      <c r="J10" t="e">
        <f t="shared" si="1"/>
        <v>#N/A</v>
      </c>
      <c r="K10">
        <f t="shared" si="2"/>
        <v>15.04</v>
      </c>
      <c r="L10">
        <f t="shared" si="3"/>
        <v>1.96</v>
      </c>
    </row>
    <row r="11" spans="1:12" x14ac:dyDescent="0.25">
      <c r="A11">
        <v>14.78</v>
      </c>
      <c r="B11">
        <v>3.23</v>
      </c>
      <c r="C11" t="s">
        <v>12</v>
      </c>
      <c r="D11" t="s">
        <v>9</v>
      </c>
      <c r="E11" t="s">
        <v>10</v>
      </c>
      <c r="F11" t="s">
        <v>11</v>
      </c>
      <c r="G11">
        <v>2</v>
      </c>
      <c r="H11">
        <v>21.8538565629228</v>
      </c>
      <c r="I11" t="e">
        <f t="shared" si="0"/>
        <v>#N/A</v>
      </c>
      <c r="J11" t="e">
        <f t="shared" si="1"/>
        <v>#N/A</v>
      </c>
      <c r="K11">
        <f t="shared" si="2"/>
        <v>14.78</v>
      </c>
      <c r="L11">
        <f t="shared" si="3"/>
        <v>3.23</v>
      </c>
    </row>
    <row r="12" spans="1:12" x14ac:dyDescent="0.25">
      <c r="A12">
        <v>10.27</v>
      </c>
      <c r="B12">
        <v>1.71</v>
      </c>
      <c r="C12" t="s">
        <v>12</v>
      </c>
      <c r="D12" t="s">
        <v>9</v>
      </c>
      <c r="E12" t="s">
        <v>10</v>
      </c>
      <c r="F12" t="s">
        <v>11</v>
      </c>
      <c r="G12">
        <v>2</v>
      </c>
      <c r="H12">
        <v>16.650438169425499</v>
      </c>
      <c r="I12" t="e">
        <f t="shared" si="0"/>
        <v>#N/A</v>
      </c>
      <c r="J12" t="e">
        <f t="shared" si="1"/>
        <v>#N/A</v>
      </c>
      <c r="K12">
        <f t="shared" si="2"/>
        <v>10.27</v>
      </c>
      <c r="L12">
        <f t="shared" si="3"/>
        <v>1.71</v>
      </c>
    </row>
    <row r="13" spans="1:12" x14ac:dyDescent="0.25">
      <c r="A13">
        <v>35.26</v>
      </c>
      <c r="B13">
        <v>5</v>
      </c>
      <c r="C13" t="s">
        <v>8</v>
      </c>
      <c r="D13" t="s">
        <v>9</v>
      </c>
      <c r="E13" t="s">
        <v>10</v>
      </c>
      <c r="F13" t="s">
        <v>11</v>
      </c>
      <c r="G13">
        <v>4</v>
      </c>
      <c r="H13">
        <v>14.1803743618831</v>
      </c>
      <c r="I13">
        <f t="shared" si="0"/>
        <v>35.26</v>
      </c>
      <c r="J13">
        <f t="shared" si="1"/>
        <v>5</v>
      </c>
      <c r="K13" t="e">
        <f t="shared" si="2"/>
        <v>#N/A</v>
      </c>
      <c r="L13" t="e">
        <f t="shared" si="3"/>
        <v>#N/A</v>
      </c>
    </row>
    <row r="14" spans="1:12" x14ac:dyDescent="0.25">
      <c r="A14">
        <v>15.42</v>
      </c>
      <c r="B14">
        <v>1.57</v>
      </c>
      <c r="C14" t="s">
        <v>12</v>
      </c>
      <c r="D14" t="s">
        <v>9</v>
      </c>
      <c r="E14" t="s">
        <v>10</v>
      </c>
      <c r="F14" t="s">
        <v>11</v>
      </c>
      <c r="G14">
        <v>2</v>
      </c>
      <c r="H14">
        <v>10.1815823605706</v>
      </c>
      <c r="I14" t="e">
        <f t="shared" si="0"/>
        <v>#N/A</v>
      </c>
      <c r="J14" t="e">
        <f t="shared" si="1"/>
        <v>#N/A</v>
      </c>
      <c r="K14">
        <f t="shared" si="2"/>
        <v>15.42</v>
      </c>
      <c r="L14">
        <f t="shared" si="3"/>
        <v>1.57</v>
      </c>
    </row>
    <row r="15" spans="1:12" x14ac:dyDescent="0.25">
      <c r="A15">
        <v>18.43</v>
      </c>
      <c r="B15">
        <v>3</v>
      </c>
      <c r="C15" t="s">
        <v>12</v>
      </c>
      <c r="D15" t="s">
        <v>9</v>
      </c>
      <c r="E15" t="s">
        <v>10</v>
      </c>
      <c r="F15" t="s">
        <v>11</v>
      </c>
      <c r="G15">
        <v>4</v>
      </c>
      <c r="H15">
        <v>16.277807921866501</v>
      </c>
      <c r="I15" t="e">
        <f t="shared" si="0"/>
        <v>#N/A</v>
      </c>
      <c r="J15" t="e">
        <f t="shared" si="1"/>
        <v>#N/A</v>
      </c>
      <c r="K15">
        <f t="shared" si="2"/>
        <v>18.43</v>
      </c>
      <c r="L15">
        <f t="shared" si="3"/>
        <v>3</v>
      </c>
    </row>
    <row r="16" spans="1:12" x14ac:dyDescent="0.25">
      <c r="A16">
        <v>14.83</v>
      </c>
      <c r="B16">
        <v>3.02</v>
      </c>
      <c r="C16" t="s">
        <v>8</v>
      </c>
      <c r="D16" t="s">
        <v>9</v>
      </c>
      <c r="E16" t="s">
        <v>10</v>
      </c>
      <c r="F16" t="s">
        <v>11</v>
      </c>
      <c r="G16">
        <v>2</v>
      </c>
      <c r="H16">
        <v>20.364126770060601</v>
      </c>
      <c r="I16">
        <f t="shared" si="0"/>
        <v>14.83</v>
      </c>
      <c r="J16">
        <f t="shared" si="1"/>
        <v>3.02</v>
      </c>
      <c r="K16" t="e">
        <f t="shared" si="2"/>
        <v>#N/A</v>
      </c>
      <c r="L16" t="e">
        <f t="shared" si="3"/>
        <v>#N/A</v>
      </c>
    </row>
    <row r="17" spans="1:12" x14ac:dyDescent="0.25">
      <c r="A17">
        <v>21.58</v>
      </c>
      <c r="B17">
        <v>3.92</v>
      </c>
      <c r="C17" t="s">
        <v>12</v>
      </c>
      <c r="D17" t="s">
        <v>9</v>
      </c>
      <c r="E17" t="s">
        <v>10</v>
      </c>
      <c r="F17" t="s">
        <v>11</v>
      </c>
      <c r="G17">
        <v>2</v>
      </c>
      <c r="H17">
        <v>18.164967562557901</v>
      </c>
      <c r="I17" t="e">
        <f t="shared" si="0"/>
        <v>#N/A</v>
      </c>
      <c r="J17" t="e">
        <f t="shared" si="1"/>
        <v>#N/A</v>
      </c>
      <c r="K17">
        <f t="shared" si="2"/>
        <v>21.58</v>
      </c>
      <c r="L17">
        <f t="shared" si="3"/>
        <v>3.92</v>
      </c>
    </row>
    <row r="18" spans="1:12" x14ac:dyDescent="0.25">
      <c r="A18">
        <v>10.33</v>
      </c>
      <c r="B18">
        <v>1.67</v>
      </c>
      <c r="C18" t="s">
        <v>8</v>
      </c>
      <c r="D18" t="s">
        <v>9</v>
      </c>
      <c r="E18" t="s">
        <v>10</v>
      </c>
      <c r="F18" t="s">
        <v>11</v>
      </c>
      <c r="G18">
        <v>3</v>
      </c>
      <c r="H18">
        <v>16.1665053242981</v>
      </c>
      <c r="I18">
        <f t="shared" si="0"/>
        <v>10.33</v>
      </c>
      <c r="J18">
        <f t="shared" si="1"/>
        <v>1.67</v>
      </c>
      <c r="K18" t="e">
        <f t="shared" si="2"/>
        <v>#N/A</v>
      </c>
      <c r="L18" t="e">
        <f t="shared" si="3"/>
        <v>#N/A</v>
      </c>
    </row>
    <row r="19" spans="1:12" x14ac:dyDescent="0.25">
      <c r="A19">
        <v>16.29</v>
      </c>
      <c r="B19">
        <v>3.71</v>
      </c>
      <c r="C19" t="s">
        <v>12</v>
      </c>
      <c r="D19" t="s">
        <v>9</v>
      </c>
      <c r="E19" t="s">
        <v>10</v>
      </c>
      <c r="F19" t="s">
        <v>11</v>
      </c>
      <c r="G19">
        <v>3</v>
      </c>
      <c r="H19">
        <v>22.7747084100675</v>
      </c>
      <c r="I19" t="e">
        <f t="shared" si="0"/>
        <v>#N/A</v>
      </c>
      <c r="J19" t="e">
        <f t="shared" si="1"/>
        <v>#N/A</v>
      </c>
      <c r="K19">
        <f t="shared" si="2"/>
        <v>16.29</v>
      </c>
      <c r="L19">
        <f t="shared" si="3"/>
        <v>3.71</v>
      </c>
    </row>
    <row r="20" spans="1:12" x14ac:dyDescent="0.25">
      <c r="A20">
        <v>16.97</v>
      </c>
      <c r="B20">
        <v>3.5</v>
      </c>
      <c r="C20" t="s">
        <v>8</v>
      </c>
      <c r="D20" t="s">
        <v>9</v>
      </c>
      <c r="E20" t="s">
        <v>10</v>
      </c>
      <c r="F20" t="s">
        <v>11</v>
      </c>
      <c r="G20">
        <v>3</v>
      </c>
      <c r="H20">
        <v>20.624631703005299</v>
      </c>
      <c r="I20">
        <f t="shared" si="0"/>
        <v>16.97</v>
      </c>
      <c r="J20">
        <f t="shared" si="1"/>
        <v>3.5</v>
      </c>
      <c r="K20" t="e">
        <f t="shared" si="2"/>
        <v>#N/A</v>
      </c>
      <c r="L20" t="e">
        <f t="shared" si="3"/>
        <v>#N/A</v>
      </c>
    </row>
    <row r="21" spans="1:12" x14ac:dyDescent="0.25">
      <c r="A21">
        <v>20.65</v>
      </c>
      <c r="B21">
        <v>3.35</v>
      </c>
      <c r="C21" t="s">
        <v>12</v>
      </c>
      <c r="D21" t="s">
        <v>9</v>
      </c>
      <c r="E21" t="s">
        <v>13</v>
      </c>
      <c r="F21" t="s">
        <v>11</v>
      </c>
      <c r="G21">
        <v>3</v>
      </c>
      <c r="H21">
        <v>16.222760290556899</v>
      </c>
      <c r="I21" t="e">
        <f t="shared" si="0"/>
        <v>#N/A</v>
      </c>
      <c r="J21" t="e">
        <f t="shared" si="1"/>
        <v>#N/A</v>
      </c>
      <c r="K21">
        <f t="shared" si="2"/>
        <v>20.65</v>
      </c>
      <c r="L21">
        <f t="shared" si="3"/>
        <v>3.35</v>
      </c>
    </row>
    <row r="22" spans="1:12" x14ac:dyDescent="0.25">
      <c r="A22">
        <v>17.920000000000002</v>
      </c>
      <c r="B22">
        <v>4.08</v>
      </c>
      <c r="C22" t="s">
        <v>12</v>
      </c>
      <c r="D22" t="s">
        <v>9</v>
      </c>
      <c r="E22" t="s">
        <v>13</v>
      </c>
      <c r="F22" t="s">
        <v>11</v>
      </c>
      <c r="G22">
        <v>2</v>
      </c>
      <c r="H22">
        <v>22.7678571428571</v>
      </c>
      <c r="I22" t="e">
        <f t="shared" si="0"/>
        <v>#N/A</v>
      </c>
      <c r="J22" t="e">
        <f t="shared" si="1"/>
        <v>#N/A</v>
      </c>
      <c r="K22">
        <f t="shared" si="2"/>
        <v>17.920000000000002</v>
      </c>
      <c r="L22">
        <f t="shared" si="3"/>
        <v>4.08</v>
      </c>
    </row>
    <row r="23" spans="1:12" x14ac:dyDescent="0.25">
      <c r="A23">
        <v>20.29</v>
      </c>
      <c r="B23">
        <v>2.75</v>
      </c>
      <c r="C23" t="s">
        <v>8</v>
      </c>
      <c r="D23" t="s">
        <v>9</v>
      </c>
      <c r="E23" t="s">
        <v>13</v>
      </c>
      <c r="F23" t="s">
        <v>11</v>
      </c>
      <c r="G23">
        <v>2</v>
      </c>
      <c r="H23">
        <v>13.5534746180384</v>
      </c>
      <c r="I23">
        <f t="shared" si="0"/>
        <v>20.29</v>
      </c>
      <c r="J23">
        <f t="shared" si="1"/>
        <v>2.75</v>
      </c>
      <c r="K23" t="e">
        <f t="shared" si="2"/>
        <v>#N/A</v>
      </c>
      <c r="L23" t="e">
        <f t="shared" si="3"/>
        <v>#N/A</v>
      </c>
    </row>
    <row r="24" spans="1:12" x14ac:dyDescent="0.25">
      <c r="A24">
        <v>15.77</v>
      </c>
      <c r="B24">
        <v>2.23</v>
      </c>
      <c r="C24" t="s">
        <v>8</v>
      </c>
      <c r="D24" t="s">
        <v>9</v>
      </c>
      <c r="E24" t="s">
        <v>13</v>
      </c>
      <c r="F24" t="s">
        <v>11</v>
      </c>
      <c r="G24">
        <v>2</v>
      </c>
      <c r="H24">
        <v>14.1407736207989</v>
      </c>
      <c r="I24">
        <f t="shared" si="0"/>
        <v>15.77</v>
      </c>
      <c r="J24">
        <f t="shared" si="1"/>
        <v>2.23</v>
      </c>
      <c r="K24" t="e">
        <f t="shared" si="2"/>
        <v>#N/A</v>
      </c>
      <c r="L24" t="e">
        <f t="shared" si="3"/>
        <v>#N/A</v>
      </c>
    </row>
    <row r="25" spans="1:12" x14ac:dyDescent="0.25">
      <c r="A25">
        <v>39.42</v>
      </c>
      <c r="B25">
        <v>7.58</v>
      </c>
      <c r="C25" t="s">
        <v>12</v>
      </c>
      <c r="D25" t="s">
        <v>9</v>
      </c>
      <c r="E25" t="s">
        <v>13</v>
      </c>
      <c r="F25" t="s">
        <v>11</v>
      </c>
      <c r="G25">
        <v>4</v>
      </c>
      <c r="H25">
        <v>19.228817858954798</v>
      </c>
      <c r="I25" t="e">
        <f t="shared" si="0"/>
        <v>#N/A</v>
      </c>
      <c r="J25" t="e">
        <f t="shared" si="1"/>
        <v>#N/A</v>
      </c>
      <c r="K25">
        <f t="shared" si="2"/>
        <v>39.42</v>
      </c>
      <c r="L25">
        <f t="shared" si="3"/>
        <v>7.58</v>
      </c>
    </row>
    <row r="26" spans="1:12" x14ac:dyDescent="0.25">
      <c r="A26">
        <v>19.82</v>
      </c>
      <c r="B26">
        <v>3.18</v>
      </c>
      <c r="C26" t="s">
        <v>12</v>
      </c>
      <c r="D26" t="s">
        <v>9</v>
      </c>
      <c r="E26" t="s">
        <v>13</v>
      </c>
      <c r="F26" t="s">
        <v>11</v>
      </c>
      <c r="G26">
        <v>2</v>
      </c>
      <c r="H26">
        <v>16.044399596367299</v>
      </c>
      <c r="I26" t="e">
        <f t="shared" si="0"/>
        <v>#N/A</v>
      </c>
      <c r="J26" t="e">
        <f t="shared" si="1"/>
        <v>#N/A</v>
      </c>
      <c r="K26">
        <f t="shared" si="2"/>
        <v>19.82</v>
      </c>
      <c r="L26">
        <f t="shared" si="3"/>
        <v>3.18</v>
      </c>
    </row>
    <row r="27" spans="1:12" x14ac:dyDescent="0.25">
      <c r="A27">
        <v>17.809999999999999</v>
      </c>
      <c r="B27">
        <v>2.34</v>
      </c>
      <c r="C27" t="s">
        <v>12</v>
      </c>
      <c r="D27" t="s">
        <v>9</v>
      </c>
      <c r="E27" t="s">
        <v>13</v>
      </c>
      <c r="F27" t="s">
        <v>11</v>
      </c>
      <c r="G27">
        <v>4</v>
      </c>
      <c r="H27">
        <v>13.1386861313868</v>
      </c>
      <c r="I27" t="e">
        <f t="shared" si="0"/>
        <v>#N/A</v>
      </c>
      <c r="J27" t="e">
        <f t="shared" si="1"/>
        <v>#N/A</v>
      </c>
      <c r="K27">
        <f t="shared" si="2"/>
        <v>17.809999999999999</v>
      </c>
      <c r="L27">
        <f t="shared" si="3"/>
        <v>2.34</v>
      </c>
    </row>
    <row r="28" spans="1:12" x14ac:dyDescent="0.25">
      <c r="A28">
        <v>13.37</v>
      </c>
      <c r="B28">
        <v>2</v>
      </c>
      <c r="C28" t="s">
        <v>12</v>
      </c>
      <c r="D28" t="s">
        <v>9</v>
      </c>
      <c r="E28" t="s">
        <v>13</v>
      </c>
      <c r="F28" t="s">
        <v>11</v>
      </c>
      <c r="G28">
        <v>2</v>
      </c>
      <c r="H28">
        <v>14.958863126402299</v>
      </c>
      <c r="I28" t="e">
        <f t="shared" si="0"/>
        <v>#N/A</v>
      </c>
      <c r="J28" t="e">
        <f t="shared" si="1"/>
        <v>#N/A</v>
      </c>
      <c r="K28">
        <f t="shared" si="2"/>
        <v>13.37</v>
      </c>
      <c r="L28">
        <f t="shared" si="3"/>
        <v>2</v>
      </c>
    </row>
    <row r="29" spans="1:12" x14ac:dyDescent="0.25">
      <c r="A29">
        <v>12.69</v>
      </c>
      <c r="B29">
        <v>2</v>
      </c>
      <c r="C29" t="s">
        <v>12</v>
      </c>
      <c r="D29" t="s">
        <v>9</v>
      </c>
      <c r="E29" t="s">
        <v>13</v>
      </c>
      <c r="F29" t="s">
        <v>11</v>
      </c>
      <c r="G29">
        <v>2</v>
      </c>
      <c r="H29">
        <v>15.7604412923561</v>
      </c>
      <c r="I29" t="e">
        <f t="shared" si="0"/>
        <v>#N/A</v>
      </c>
      <c r="J29" t="e">
        <f t="shared" si="1"/>
        <v>#N/A</v>
      </c>
      <c r="K29">
        <f t="shared" si="2"/>
        <v>12.69</v>
      </c>
      <c r="L29">
        <f t="shared" si="3"/>
        <v>2</v>
      </c>
    </row>
    <row r="30" spans="1:12" x14ac:dyDescent="0.25">
      <c r="A30">
        <v>21.7</v>
      </c>
      <c r="B30">
        <v>4.3</v>
      </c>
      <c r="C30" t="s">
        <v>12</v>
      </c>
      <c r="D30" t="s">
        <v>9</v>
      </c>
      <c r="E30" t="s">
        <v>13</v>
      </c>
      <c r="F30" t="s">
        <v>11</v>
      </c>
      <c r="G30">
        <v>2</v>
      </c>
      <c r="H30">
        <v>19.8156682027649</v>
      </c>
      <c r="I30" t="e">
        <f t="shared" si="0"/>
        <v>#N/A</v>
      </c>
      <c r="J30" t="e">
        <f t="shared" si="1"/>
        <v>#N/A</v>
      </c>
      <c r="K30">
        <f t="shared" si="2"/>
        <v>21.7</v>
      </c>
      <c r="L30">
        <f t="shared" si="3"/>
        <v>4.3</v>
      </c>
    </row>
    <row r="31" spans="1:12" x14ac:dyDescent="0.25">
      <c r="A31">
        <v>19.649999999999999</v>
      </c>
      <c r="B31">
        <v>3</v>
      </c>
      <c r="C31" t="s">
        <v>8</v>
      </c>
      <c r="D31" t="s">
        <v>9</v>
      </c>
      <c r="E31" t="s">
        <v>13</v>
      </c>
      <c r="F31" t="s">
        <v>11</v>
      </c>
      <c r="G31">
        <v>2</v>
      </c>
      <c r="H31">
        <v>15.267175572518999</v>
      </c>
      <c r="I31">
        <f t="shared" si="0"/>
        <v>19.649999999999999</v>
      </c>
      <c r="J31">
        <f t="shared" si="1"/>
        <v>3</v>
      </c>
      <c r="K31" t="e">
        <f t="shared" si="2"/>
        <v>#N/A</v>
      </c>
      <c r="L31" t="e">
        <f t="shared" si="3"/>
        <v>#N/A</v>
      </c>
    </row>
    <row r="32" spans="1:12" x14ac:dyDescent="0.25">
      <c r="A32">
        <v>9.5500000000000007</v>
      </c>
      <c r="B32">
        <v>1.45</v>
      </c>
      <c r="C32" t="s">
        <v>12</v>
      </c>
      <c r="D32" t="s">
        <v>9</v>
      </c>
      <c r="E32" t="s">
        <v>13</v>
      </c>
      <c r="F32" t="s">
        <v>11</v>
      </c>
      <c r="G32">
        <v>2</v>
      </c>
      <c r="H32">
        <v>15.183246073298401</v>
      </c>
      <c r="I32" t="e">
        <f t="shared" si="0"/>
        <v>#N/A</v>
      </c>
      <c r="J32" t="e">
        <f t="shared" si="1"/>
        <v>#N/A</v>
      </c>
      <c r="K32">
        <f t="shared" si="2"/>
        <v>9.5500000000000007</v>
      </c>
      <c r="L32">
        <f t="shared" si="3"/>
        <v>1.45</v>
      </c>
    </row>
    <row r="33" spans="1:12" x14ac:dyDescent="0.25">
      <c r="A33">
        <v>18.350000000000001</v>
      </c>
      <c r="B33">
        <v>2.5</v>
      </c>
      <c r="C33" t="s">
        <v>12</v>
      </c>
      <c r="D33" t="s">
        <v>9</v>
      </c>
      <c r="E33" t="s">
        <v>13</v>
      </c>
      <c r="F33" t="s">
        <v>11</v>
      </c>
      <c r="G33">
        <v>4</v>
      </c>
      <c r="H33">
        <v>13.623978201634801</v>
      </c>
      <c r="I33" t="e">
        <f t="shared" si="0"/>
        <v>#N/A</v>
      </c>
      <c r="J33" t="e">
        <f t="shared" si="1"/>
        <v>#N/A</v>
      </c>
      <c r="K33">
        <f t="shared" si="2"/>
        <v>18.350000000000001</v>
      </c>
      <c r="L33">
        <f t="shared" si="3"/>
        <v>2.5</v>
      </c>
    </row>
    <row r="34" spans="1:12" x14ac:dyDescent="0.25">
      <c r="A34">
        <v>15.06</v>
      </c>
      <c r="B34">
        <v>3</v>
      </c>
      <c r="C34" t="s">
        <v>8</v>
      </c>
      <c r="D34" t="s">
        <v>9</v>
      </c>
      <c r="E34" t="s">
        <v>13</v>
      </c>
      <c r="F34" t="s">
        <v>11</v>
      </c>
      <c r="G34">
        <v>2</v>
      </c>
      <c r="H34">
        <v>19.920318725099602</v>
      </c>
      <c r="I34">
        <f t="shared" si="0"/>
        <v>15.06</v>
      </c>
      <c r="J34">
        <f t="shared" si="1"/>
        <v>3</v>
      </c>
      <c r="K34" t="e">
        <f t="shared" si="2"/>
        <v>#N/A</v>
      </c>
      <c r="L34" t="e">
        <f t="shared" si="3"/>
        <v>#N/A</v>
      </c>
    </row>
    <row r="35" spans="1:12" x14ac:dyDescent="0.25">
      <c r="A35">
        <v>20.69</v>
      </c>
      <c r="B35">
        <v>2.4500000000000002</v>
      </c>
      <c r="C35" t="s">
        <v>8</v>
      </c>
      <c r="D35" t="s">
        <v>9</v>
      </c>
      <c r="E35" t="s">
        <v>13</v>
      </c>
      <c r="F35" t="s">
        <v>11</v>
      </c>
      <c r="G35">
        <v>4</v>
      </c>
      <c r="H35">
        <v>11.8414693088448</v>
      </c>
      <c r="I35">
        <f t="shared" si="0"/>
        <v>20.69</v>
      </c>
      <c r="J35">
        <f t="shared" si="1"/>
        <v>2.4500000000000002</v>
      </c>
      <c r="K35" t="e">
        <f t="shared" si="2"/>
        <v>#N/A</v>
      </c>
      <c r="L35" t="e">
        <f t="shared" si="3"/>
        <v>#N/A</v>
      </c>
    </row>
    <row r="36" spans="1:12" x14ac:dyDescent="0.25">
      <c r="A36">
        <v>17.78</v>
      </c>
      <c r="B36">
        <v>3.27</v>
      </c>
      <c r="C36" t="s">
        <v>12</v>
      </c>
      <c r="D36" t="s">
        <v>9</v>
      </c>
      <c r="E36" t="s">
        <v>13</v>
      </c>
      <c r="F36" t="s">
        <v>11</v>
      </c>
      <c r="G36">
        <v>2</v>
      </c>
      <c r="H36">
        <v>18.391451068616401</v>
      </c>
      <c r="I36" t="e">
        <f t="shared" si="0"/>
        <v>#N/A</v>
      </c>
      <c r="J36" t="e">
        <f t="shared" si="1"/>
        <v>#N/A</v>
      </c>
      <c r="K36">
        <f t="shared" si="2"/>
        <v>17.78</v>
      </c>
      <c r="L36">
        <f t="shared" si="3"/>
        <v>3.27</v>
      </c>
    </row>
    <row r="37" spans="1:12" x14ac:dyDescent="0.25">
      <c r="A37">
        <v>24.06</v>
      </c>
      <c r="B37">
        <v>3.6</v>
      </c>
      <c r="C37" t="s">
        <v>12</v>
      </c>
      <c r="D37" t="s">
        <v>9</v>
      </c>
      <c r="E37" t="s">
        <v>13</v>
      </c>
      <c r="F37" t="s">
        <v>11</v>
      </c>
      <c r="G37">
        <v>3</v>
      </c>
      <c r="H37">
        <v>14.962593516209401</v>
      </c>
      <c r="I37" t="e">
        <f t="shared" si="0"/>
        <v>#N/A</v>
      </c>
      <c r="J37" t="e">
        <f t="shared" si="1"/>
        <v>#N/A</v>
      </c>
      <c r="K37">
        <f t="shared" si="2"/>
        <v>24.06</v>
      </c>
      <c r="L37">
        <f t="shared" si="3"/>
        <v>3.6</v>
      </c>
    </row>
    <row r="38" spans="1:12" x14ac:dyDescent="0.25">
      <c r="A38">
        <v>16.309999999999999</v>
      </c>
      <c r="B38">
        <v>2</v>
      </c>
      <c r="C38" t="s">
        <v>12</v>
      </c>
      <c r="D38" t="s">
        <v>9</v>
      </c>
      <c r="E38" t="s">
        <v>13</v>
      </c>
      <c r="F38" t="s">
        <v>11</v>
      </c>
      <c r="G38">
        <v>3</v>
      </c>
      <c r="H38">
        <v>12.262415695892001</v>
      </c>
      <c r="I38" t="e">
        <f t="shared" si="0"/>
        <v>#N/A</v>
      </c>
      <c r="J38" t="e">
        <f t="shared" si="1"/>
        <v>#N/A</v>
      </c>
      <c r="K38">
        <f t="shared" si="2"/>
        <v>16.309999999999999</v>
      </c>
      <c r="L38">
        <f t="shared" si="3"/>
        <v>2</v>
      </c>
    </row>
    <row r="39" spans="1:12" x14ac:dyDescent="0.25">
      <c r="A39">
        <v>16.93</v>
      </c>
      <c r="B39">
        <v>3.07</v>
      </c>
      <c r="C39" t="s">
        <v>8</v>
      </c>
      <c r="D39" t="s">
        <v>9</v>
      </c>
      <c r="E39" t="s">
        <v>13</v>
      </c>
      <c r="F39" t="s">
        <v>11</v>
      </c>
      <c r="G39">
        <v>3</v>
      </c>
      <c r="H39">
        <v>18.1334908446544</v>
      </c>
      <c r="I39">
        <f t="shared" si="0"/>
        <v>16.93</v>
      </c>
      <c r="J39">
        <f t="shared" si="1"/>
        <v>3.07</v>
      </c>
      <c r="K39" t="e">
        <f t="shared" si="2"/>
        <v>#N/A</v>
      </c>
      <c r="L39" t="e">
        <f t="shared" si="3"/>
        <v>#N/A</v>
      </c>
    </row>
    <row r="40" spans="1:12" x14ac:dyDescent="0.25">
      <c r="A40">
        <v>18.690000000000001</v>
      </c>
      <c r="B40">
        <v>2.31</v>
      </c>
      <c r="C40" t="s">
        <v>12</v>
      </c>
      <c r="D40" t="s">
        <v>9</v>
      </c>
      <c r="E40" t="s">
        <v>13</v>
      </c>
      <c r="F40" t="s">
        <v>11</v>
      </c>
      <c r="G40">
        <v>3</v>
      </c>
      <c r="H40">
        <v>12.3595505617977</v>
      </c>
      <c r="I40" t="e">
        <f t="shared" si="0"/>
        <v>#N/A</v>
      </c>
      <c r="J40" t="e">
        <f t="shared" si="1"/>
        <v>#N/A</v>
      </c>
      <c r="K40">
        <f t="shared" si="2"/>
        <v>18.690000000000001</v>
      </c>
      <c r="L40">
        <f t="shared" si="3"/>
        <v>2.31</v>
      </c>
    </row>
    <row r="41" spans="1:12" x14ac:dyDescent="0.25">
      <c r="A41">
        <v>31.27</v>
      </c>
      <c r="B41">
        <v>5</v>
      </c>
      <c r="C41" t="s">
        <v>12</v>
      </c>
      <c r="D41" t="s">
        <v>9</v>
      </c>
      <c r="E41" t="s">
        <v>13</v>
      </c>
      <c r="F41" t="s">
        <v>11</v>
      </c>
      <c r="G41">
        <v>3</v>
      </c>
      <c r="H41">
        <v>15.9897665494083</v>
      </c>
      <c r="I41" t="e">
        <f t="shared" si="0"/>
        <v>#N/A</v>
      </c>
      <c r="J41" t="e">
        <f t="shared" si="1"/>
        <v>#N/A</v>
      </c>
      <c r="K41">
        <f t="shared" si="2"/>
        <v>31.27</v>
      </c>
      <c r="L41">
        <f t="shared" si="3"/>
        <v>5</v>
      </c>
    </row>
    <row r="42" spans="1:12" x14ac:dyDescent="0.25">
      <c r="A42">
        <v>16.04</v>
      </c>
      <c r="B42">
        <v>2.2400000000000002</v>
      </c>
      <c r="C42" t="s">
        <v>12</v>
      </c>
      <c r="D42" t="s">
        <v>9</v>
      </c>
      <c r="E42" t="s">
        <v>13</v>
      </c>
      <c r="F42" t="s">
        <v>11</v>
      </c>
      <c r="G42">
        <v>3</v>
      </c>
      <c r="H42">
        <v>13.965087281795499</v>
      </c>
      <c r="I42" t="e">
        <f t="shared" si="0"/>
        <v>#N/A</v>
      </c>
      <c r="J42" t="e">
        <f t="shared" si="1"/>
        <v>#N/A</v>
      </c>
      <c r="K42">
        <f t="shared" si="2"/>
        <v>16.04</v>
      </c>
      <c r="L42">
        <f t="shared" si="3"/>
        <v>2.2400000000000002</v>
      </c>
    </row>
    <row r="43" spans="1:12" x14ac:dyDescent="0.25">
      <c r="A43">
        <v>17.46</v>
      </c>
      <c r="B43">
        <v>2.54</v>
      </c>
      <c r="C43" t="s">
        <v>12</v>
      </c>
      <c r="D43" t="s">
        <v>9</v>
      </c>
      <c r="E43" t="s">
        <v>10</v>
      </c>
      <c r="F43" t="s">
        <v>11</v>
      </c>
      <c r="G43">
        <v>2</v>
      </c>
      <c r="H43">
        <v>14.547537227949499</v>
      </c>
      <c r="I43" t="e">
        <f t="shared" si="0"/>
        <v>#N/A</v>
      </c>
      <c r="J43" t="e">
        <f t="shared" si="1"/>
        <v>#N/A</v>
      </c>
      <c r="K43">
        <f t="shared" si="2"/>
        <v>17.46</v>
      </c>
      <c r="L43">
        <f t="shared" si="3"/>
        <v>2.54</v>
      </c>
    </row>
    <row r="44" spans="1:12" x14ac:dyDescent="0.25">
      <c r="A44">
        <v>13.94</v>
      </c>
      <c r="B44">
        <v>3.06</v>
      </c>
      <c r="C44" t="s">
        <v>12</v>
      </c>
      <c r="D44" t="s">
        <v>9</v>
      </c>
      <c r="E44" t="s">
        <v>10</v>
      </c>
      <c r="F44" t="s">
        <v>11</v>
      </c>
      <c r="G44">
        <v>2</v>
      </c>
      <c r="H44">
        <v>21.951219512195099</v>
      </c>
      <c r="I44" t="e">
        <f t="shared" si="0"/>
        <v>#N/A</v>
      </c>
      <c r="J44" t="e">
        <f t="shared" si="1"/>
        <v>#N/A</v>
      </c>
      <c r="K44">
        <f t="shared" si="2"/>
        <v>13.94</v>
      </c>
      <c r="L44">
        <f t="shared" si="3"/>
        <v>3.06</v>
      </c>
    </row>
    <row r="45" spans="1:12" x14ac:dyDescent="0.25">
      <c r="A45">
        <v>9.68</v>
      </c>
      <c r="B45">
        <v>1.32</v>
      </c>
      <c r="C45" t="s">
        <v>12</v>
      </c>
      <c r="D45" t="s">
        <v>9</v>
      </c>
      <c r="E45" t="s">
        <v>10</v>
      </c>
      <c r="F45" t="s">
        <v>11</v>
      </c>
      <c r="G45">
        <v>2</v>
      </c>
      <c r="H45">
        <v>13.636363636363599</v>
      </c>
      <c r="I45" t="e">
        <f t="shared" si="0"/>
        <v>#N/A</v>
      </c>
      <c r="J45" t="e">
        <f t="shared" si="1"/>
        <v>#N/A</v>
      </c>
      <c r="K45">
        <f t="shared" si="2"/>
        <v>9.68</v>
      </c>
      <c r="L45">
        <f t="shared" si="3"/>
        <v>1.32</v>
      </c>
    </row>
    <row r="46" spans="1:12" x14ac:dyDescent="0.25">
      <c r="A46">
        <v>30.4</v>
      </c>
      <c r="B46">
        <v>5.6</v>
      </c>
      <c r="C46" t="s">
        <v>12</v>
      </c>
      <c r="D46" t="s">
        <v>9</v>
      </c>
      <c r="E46" t="s">
        <v>10</v>
      </c>
      <c r="F46" t="s">
        <v>11</v>
      </c>
      <c r="G46">
        <v>4</v>
      </c>
      <c r="H46">
        <v>18.421052631578899</v>
      </c>
      <c r="I46" t="e">
        <f t="shared" si="0"/>
        <v>#N/A</v>
      </c>
      <c r="J46" t="e">
        <f t="shared" si="1"/>
        <v>#N/A</v>
      </c>
      <c r="K46">
        <f t="shared" si="2"/>
        <v>30.4</v>
      </c>
      <c r="L46">
        <f t="shared" si="3"/>
        <v>5.6</v>
      </c>
    </row>
    <row r="47" spans="1:12" x14ac:dyDescent="0.25">
      <c r="A47">
        <v>18.29</v>
      </c>
      <c r="B47">
        <v>3</v>
      </c>
      <c r="C47" t="s">
        <v>12</v>
      </c>
      <c r="D47" t="s">
        <v>9</v>
      </c>
      <c r="E47" t="s">
        <v>10</v>
      </c>
      <c r="F47" t="s">
        <v>11</v>
      </c>
      <c r="G47">
        <v>2</v>
      </c>
      <c r="H47">
        <v>16.402405686167299</v>
      </c>
      <c r="I47" t="e">
        <f t="shared" si="0"/>
        <v>#N/A</v>
      </c>
      <c r="J47" t="e">
        <f t="shared" si="1"/>
        <v>#N/A</v>
      </c>
      <c r="K47">
        <f t="shared" si="2"/>
        <v>18.29</v>
      </c>
      <c r="L47">
        <f t="shared" si="3"/>
        <v>3</v>
      </c>
    </row>
    <row r="48" spans="1:12" x14ac:dyDescent="0.25">
      <c r="A48">
        <v>22.23</v>
      </c>
      <c r="B48">
        <v>5</v>
      </c>
      <c r="C48" t="s">
        <v>12</v>
      </c>
      <c r="D48" t="s">
        <v>9</v>
      </c>
      <c r="E48" t="s">
        <v>10</v>
      </c>
      <c r="F48" t="s">
        <v>11</v>
      </c>
      <c r="G48">
        <v>2</v>
      </c>
      <c r="H48">
        <v>22.492127755285601</v>
      </c>
      <c r="I48" t="e">
        <f t="shared" si="0"/>
        <v>#N/A</v>
      </c>
      <c r="J48" t="e">
        <f t="shared" si="1"/>
        <v>#N/A</v>
      </c>
      <c r="K48">
        <f t="shared" si="2"/>
        <v>22.23</v>
      </c>
      <c r="L48">
        <f t="shared" si="3"/>
        <v>5</v>
      </c>
    </row>
    <row r="49" spans="1:12" x14ac:dyDescent="0.25">
      <c r="A49">
        <v>32.4</v>
      </c>
      <c r="B49">
        <v>6</v>
      </c>
      <c r="C49" t="s">
        <v>12</v>
      </c>
      <c r="D49" t="s">
        <v>9</v>
      </c>
      <c r="E49" t="s">
        <v>10</v>
      </c>
      <c r="F49" t="s">
        <v>11</v>
      </c>
      <c r="G49">
        <v>4</v>
      </c>
      <c r="H49">
        <v>18.518518518518501</v>
      </c>
      <c r="I49" t="e">
        <f t="shared" si="0"/>
        <v>#N/A</v>
      </c>
      <c r="J49" t="e">
        <f t="shared" si="1"/>
        <v>#N/A</v>
      </c>
      <c r="K49">
        <f t="shared" si="2"/>
        <v>32.4</v>
      </c>
      <c r="L49">
        <f t="shared" si="3"/>
        <v>6</v>
      </c>
    </row>
    <row r="50" spans="1:12" x14ac:dyDescent="0.25">
      <c r="A50">
        <v>28.55</v>
      </c>
      <c r="B50">
        <v>2.0499999999999998</v>
      </c>
      <c r="C50" t="s">
        <v>12</v>
      </c>
      <c r="D50" t="s">
        <v>9</v>
      </c>
      <c r="E50" t="s">
        <v>10</v>
      </c>
      <c r="F50" t="s">
        <v>11</v>
      </c>
      <c r="G50">
        <v>3</v>
      </c>
      <c r="H50">
        <v>7.1803852889667201</v>
      </c>
      <c r="I50" t="e">
        <f t="shared" si="0"/>
        <v>#N/A</v>
      </c>
      <c r="J50" t="e">
        <f t="shared" si="1"/>
        <v>#N/A</v>
      </c>
      <c r="K50">
        <f t="shared" si="2"/>
        <v>28.55</v>
      </c>
      <c r="L50">
        <f t="shared" si="3"/>
        <v>2.0499999999999998</v>
      </c>
    </row>
    <row r="51" spans="1:12" x14ac:dyDescent="0.25">
      <c r="A51">
        <v>18.04</v>
      </c>
      <c r="B51">
        <v>3</v>
      </c>
      <c r="C51" t="s">
        <v>12</v>
      </c>
      <c r="D51" t="s">
        <v>9</v>
      </c>
      <c r="E51" t="s">
        <v>10</v>
      </c>
      <c r="F51" t="s">
        <v>11</v>
      </c>
      <c r="G51">
        <v>2</v>
      </c>
      <c r="H51">
        <v>16.629711751662899</v>
      </c>
      <c r="I51" t="e">
        <f t="shared" si="0"/>
        <v>#N/A</v>
      </c>
      <c r="J51" t="e">
        <f t="shared" si="1"/>
        <v>#N/A</v>
      </c>
      <c r="K51">
        <f t="shared" si="2"/>
        <v>18.04</v>
      </c>
      <c r="L51">
        <f t="shared" si="3"/>
        <v>3</v>
      </c>
    </row>
    <row r="52" spans="1:12" x14ac:dyDescent="0.25">
      <c r="A52">
        <v>12.54</v>
      </c>
      <c r="B52">
        <v>2.5</v>
      </c>
      <c r="C52" t="s">
        <v>12</v>
      </c>
      <c r="D52" t="s">
        <v>9</v>
      </c>
      <c r="E52" t="s">
        <v>10</v>
      </c>
      <c r="F52" t="s">
        <v>11</v>
      </c>
      <c r="G52">
        <v>2</v>
      </c>
      <c r="H52">
        <v>19.9362041467304</v>
      </c>
      <c r="I52" t="e">
        <f t="shared" si="0"/>
        <v>#N/A</v>
      </c>
      <c r="J52" t="e">
        <f t="shared" si="1"/>
        <v>#N/A</v>
      </c>
      <c r="K52">
        <f t="shared" si="2"/>
        <v>12.54</v>
      </c>
      <c r="L52">
        <f t="shared" si="3"/>
        <v>2.5</v>
      </c>
    </row>
    <row r="53" spans="1:12" x14ac:dyDescent="0.25">
      <c r="A53">
        <v>10.29</v>
      </c>
      <c r="B53">
        <v>2.6</v>
      </c>
      <c r="C53" t="s">
        <v>8</v>
      </c>
      <c r="D53" t="s">
        <v>9</v>
      </c>
      <c r="E53" t="s">
        <v>10</v>
      </c>
      <c r="F53" t="s">
        <v>11</v>
      </c>
      <c r="G53">
        <v>2</v>
      </c>
      <c r="H53">
        <v>25.267249757045601</v>
      </c>
      <c r="I53">
        <f t="shared" si="0"/>
        <v>10.29</v>
      </c>
      <c r="J53">
        <f t="shared" si="1"/>
        <v>2.6</v>
      </c>
      <c r="K53" t="e">
        <f t="shared" si="2"/>
        <v>#N/A</v>
      </c>
      <c r="L53" t="e">
        <f t="shared" si="3"/>
        <v>#N/A</v>
      </c>
    </row>
    <row r="54" spans="1:12" x14ac:dyDescent="0.25">
      <c r="A54">
        <v>34.81</v>
      </c>
      <c r="B54">
        <v>5.2</v>
      </c>
      <c r="C54" t="s">
        <v>8</v>
      </c>
      <c r="D54" t="s">
        <v>9</v>
      </c>
      <c r="E54" t="s">
        <v>10</v>
      </c>
      <c r="F54" t="s">
        <v>11</v>
      </c>
      <c r="G54">
        <v>4</v>
      </c>
      <c r="H54">
        <v>14.9382361390405</v>
      </c>
      <c r="I54">
        <f t="shared" si="0"/>
        <v>34.81</v>
      </c>
      <c r="J54">
        <f t="shared" si="1"/>
        <v>5.2</v>
      </c>
      <c r="K54" t="e">
        <f t="shared" si="2"/>
        <v>#N/A</v>
      </c>
      <c r="L54" t="e">
        <f t="shared" si="3"/>
        <v>#N/A</v>
      </c>
    </row>
    <row r="55" spans="1:12" x14ac:dyDescent="0.25">
      <c r="A55">
        <v>9.94</v>
      </c>
      <c r="B55">
        <v>1.56</v>
      </c>
      <c r="C55" t="s">
        <v>12</v>
      </c>
      <c r="D55" t="s">
        <v>9</v>
      </c>
      <c r="E55" t="s">
        <v>10</v>
      </c>
      <c r="F55" t="s">
        <v>11</v>
      </c>
      <c r="G55">
        <v>2</v>
      </c>
      <c r="H55">
        <v>15.694164989939599</v>
      </c>
      <c r="I55" t="e">
        <f t="shared" si="0"/>
        <v>#N/A</v>
      </c>
      <c r="J55" t="e">
        <f t="shared" si="1"/>
        <v>#N/A</v>
      </c>
      <c r="K55">
        <f t="shared" si="2"/>
        <v>9.94</v>
      </c>
      <c r="L55">
        <f t="shared" si="3"/>
        <v>1.56</v>
      </c>
    </row>
    <row r="56" spans="1:12" x14ac:dyDescent="0.25">
      <c r="A56">
        <v>25.56</v>
      </c>
      <c r="B56">
        <v>4.34</v>
      </c>
      <c r="C56" t="s">
        <v>12</v>
      </c>
      <c r="D56" t="s">
        <v>9</v>
      </c>
      <c r="E56" t="s">
        <v>10</v>
      </c>
      <c r="F56" t="s">
        <v>11</v>
      </c>
      <c r="G56">
        <v>4</v>
      </c>
      <c r="H56">
        <v>16.97965571205</v>
      </c>
      <c r="I56" t="e">
        <f t="shared" si="0"/>
        <v>#N/A</v>
      </c>
      <c r="J56" t="e">
        <f t="shared" si="1"/>
        <v>#N/A</v>
      </c>
      <c r="K56">
        <f t="shared" si="2"/>
        <v>25.56</v>
      </c>
      <c r="L56">
        <f t="shared" si="3"/>
        <v>4.34</v>
      </c>
    </row>
    <row r="57" spans="1:12" x14ac:dyDescent="0.25">
      <c r="A57">
        <v>19.489999999999998</v>
      </c>
      <c r="B57">
        <v>3.51</v>
      </c>
      <c r="C57" t="s">
        <v>12</v>
      </c>
      <c r="D57" t="s">
        <v>9</v>
      </c>
      <c r="E57" t="s">
        <v>10</v>
      </c>
      <c r="F57" t="s">
        <v>11</v>
      </c>
      <c r="G57">
        <v>2</v>
      </c>
      <c r="H57">
        <v>18.009235505387299</v>
      </c>
      <c r="I57" t="e">
        <f t="shared" si="0"/>
        <v>#N/A</v>
      </c>
      <c r="J57" t="e">
        <f t="shared" si="1"/>
        <v>#N/A</v>
      </c>
      <c r="K57">
        <f t="shared" si="2"/>
        <v>19.489999999999998</v>
      </c>
      <c r="L57">
        <f t="shared" si="3"/>
        <v>3.51</v>
      </c>
    </row>
    <row r="58" spans="1:12" x14ac:dyDescent="0.25">
      <c r="A58">
        <v>38.01</v>
      </c>
      <c r="B58">
        <v>3</v>
      </c>
      <c r="C58" t="s">
        <v>12</v>
      </c>
      <c r="D58" t="s">
        <v>14</v>
      </c>
      <c r="E58" t="s">
        <v>13</v>
      </c>
      <c r="F58" t="s">
        <v>11</v>
      </c>
      <c r="G58">
        <v>4</v>
      </c>
      <c r="H58">
        <v>7.8926598263614798</v>
      </c>
      <c r="I58" t="e">
        <f t="shared" si="0"/>
        <v>#N/A</v>
      </c>
      <c r="J58" t="e">
        <f t="shared" si="1"/>
        <v>#N/A</v>
      </c>
      <c r="K58">
        <f t="shared" si="2"/>
        <v>38.01</v>
      </c>
      <c r="L58">
        <f t="shared" si="3"/>
        <v>3</v>
      </c>
    </row>
    <row r="59" spans="1:12" x14ac:dyDescent="0.25">
      <c r="A59">
        <v>26.41</v>
      </c>
      <c r="B59">
        <v>1.5</v>
      </c>
      <c r="C59" t="s">
        <v>8</v>
      </c>
      <c r="D59" t="s">
        <v>9</v>
      </c>
      <c r="E59" t="s">
        <v>13</v>
      </c>
      <c r="F59" t="s">
        <v>11</v>
      </c>
      <c r="G59">
        <v>2</v>
      </c>
      <c r="H59">
        <v>5.6796667928814797</v>
      </c>
      <c r="I59">
        <f t="shared" si="0"/>
        <v>26.41</v>
      </c>
      <c r="J59">
        <f t="shared" si="1"/>
        <v>1.5</v>
      </c>
      <c r="K59" t="e">
        <f t="shared" si="2"/>
        <v>#N/A</v>
      </c>
      <c r="L59" t="e">
        <f t="shared" si="3"/>
        <v>#N/A</v>
      </c>
    </row>
    <row r="60" spans="1:12" x14ac:dyDescent="0.25">
      <c r="A60">
        <v>11.24</v>
      </c>
      <c r="B60">
        <v>1.76</v>
      </c>
      <c r="C60" t="s">
        <v>12</v>
      </c>
      <c r="D60" t="s">
        <v>14</v>
      </c>
      <c r="E60" t="s">
        <v>13</v>
      </c>
      <c r="F60" t="s">
        <v>11</v>
      </c>
      <c r="G60">
        <v>2</v>
      </c>
      <c r="H60">
        <v>15.6583629893238</v>
      </c>
      <c r="I60" t="e">
        <f t="shared" si="0"/>
        <v>#N/A</v>
      </c>
      <c r="J60" t="e">
        <f t="shared" si="1"/>
        <v>#N/A</v>
      </c>
      <c r="K60">
        <f t="shared" si="2"/>
        <v>11.24</v>
      </c>
      <c r="L60">
        <f t="shared" si="3"/>
        <v>1.76</v>
      </c>
    </row>
    <row r="61" spans="1:12" x14ac:dyDescent="0.25">
      <c r="A61">
        <v>48.27</v>
      </c>
      <c r="B61">
        <v>6.73</v>
      </c>
      <c r="C61" t="s">
        <v>12</v>
      </c>
      <c r="D61" t="s">
        <v>9</v>
      </c>
      <c r="E61" t="s">
        <v>13</v>
      </c>
      <c r="F61" t="s">
        <v>11</v>
      </c>
      <c r="G61">
        <v>4</v>
      </c>
      <c r="H61">
        <v>13.942407292314</v>
      </c>
      <c r="I61" t="e">
        <f t="shared" si="0"/>
        <v>#N/A</v>
      </c>
      <c r="J61" t="e">
        <f t="shared" si="1"/>
        <v>#N/A</v>
      </c>
      <c r="K61">
        <f t="shared" si="2"/>
        <v>48.27</v>
      </c>
      <c r="L61">
        <f t="shared" si="3"/>
        <v>6.73</v>
      </c>
    </row>
    <row r="62" spans="1:12" x14ac:dyDescent="0.25">
      <c r="A62">
        <v>20.29</v>
      </c>
      <c r="B62">
        <v>3.21</v>
      </c>
      <c r="C62" t="s">
        <v>12</v>
      </c>
      <c r="D62" t="s">
        <v>14</v>
      </c>
      <c r="E62" t="s">
        <v>13</v>
      </c>
      <c r="F62" t="s">
        <v>11</v>
      </c>
      <c r="G62">
        <v>2</v>
      </c>
      <c r="H62">
        <v>15.8206012814194</v>
      </c>
      <c r="I62" t="e">
        <f t="shared" si="0"/>
        <v>#N/A</v>
      </c>
      <c r="J62" t="e">
        <f t="shared" si="1"/>
        <v>#N/A</v>
      </c>
      <c r="K62">
        <f t="shared" si="2"/>
        <v>20.29</v>
      </c>
      <c r="L62">
        <f t="shared" si="3"/>
        <v>3.21</v>
      </c>
    </row>
    <row r="63" spans="1:12" x14ac:dyDescent="0.25">
      <c r="A63">
        <v>13.81</v>
      </c>
      <c r="B63">
        <v>2</v>
      </c>
      <c r="C63" t="s">
        <v>12</v>
      </c>
      <c r="D63" t="s">
        <v>14</v>
      </c>
      <c r="E63" t="s">
        <v>13</v>
      </c>
      <c r="F63" t="s">
        <v>11</v>
      </c>
      <c r="G63">
        <v>2</v>
      </c>
      <c r="H63">
        <v>14.4822592324402</v>
      </c>
      <c r="I63" t="e">
        <f t="shared" si="0"/>
        <v>#N/A</v>
      </c>
      <c r="J63" t="e">
        <f t="shared" si="1"/>
        <v>#N/A</v>
      </c>
      <c r="K63">
        <f t="shared" si="2"/>
        <v>13.81</v>
      </c>
      <c r="L63">
        <f t="shared" si="3"/>
        <v>2</v>
      </c>
    </row>
    <row r="64" spans="1:12" x14ac:dyDescent="0.25">
      <c r="A64">
        <v>11.02</v>
      </c>
      <c r="B64">
        <v>1.98</v>
      </c>
      <c r="C64" t="s">
        <v>12</v>
      </c>
      <c r="D64" t="s">
        <v>14</v>
      </c>
      <c r="E64" t="s">
        <v>13</v>
      </c>
      <c r="F64" t="s">
        <v>11</v>
      </c>
      <c r="G64">
        <v>2</v>
      </c>
      <c r="H64">
        <v>17.9673321234119</v>
      </c>
      <c r="I64" t="e">
        <f t="shared" si="0"/>
        <v>#N/A</v>
      </c>
      <c r="J64" t="e">
        <f t="shared" si="1"/>
        <v>#N/A</v>
      </c>
      <c r="K64">
        <f t="shared" si="2"/>
        <v>11.02</v>
      </c>
      <c r="L64">
        <f t="shared" si="3"/>
        <v>1.98</v>
      </c>
    </row>
    <row r="65" spans="1:12" x14ac:dyDescent="0.25">
      <c r="A65">
        <v>18.29</v>
      </c>
      <c r="B65">
        <v>3.76</v>
      </c>
      <c r="C65" t="s">
        <v>12</v>
      </c>
      <c r="D65" t="s">
        <v>14</v>
      </c>
      <c r="E65" t="s">
        <v>13</v>
      </c>
      <c r="F65" t="s">
        <v>11</v>
      </c>
      <c r="G65">
        <v>4</v>
      </c>
      <c r="H65">
        <v>20.5576817933296</v>
      </c>
      <c r="I65" t="e">
        <f t="shared" si="0"/>
        <v>#N/A</v>
      </c>
      <c r="J65" t="e">
        <f t="shared" si="1"/>
        <v>#N/A</v>
      </c>
      <c r="K65">
        <f t="shared" si="2"/>
        <v>18.29</v>
      </c>
      <c r="L65">
        <f t="shared" si="3"/>
        <v>3.76</v>
      </c>
    </row>
    <row r="66" spans="1:12" x14ac:dyDescent="0.25">
      <c r="A66">
        <v>17.59</v>
      </c>
      <c r="B66">
        <v>2.64</v>
      </c>
      <c r="C66" t="s">
        <v>12</v>
      </c>
      <c r="D66" t="s">
        <v>9</v>
      </c>
      <c r="E66" t="s">
        <v>13</v>
      </c>
      <c r="F66" t="s">
        <v>11</v>
      </c>
      <c r="G66">
        <v>3</v>
      </c>
      <c r="H66">
        <v>15.008527572484301</v>
      </c>
      <c r="I66" t="e">
        <f t="shared" si="0"/>
        <v>#N/A</v>
      </c>
      <c r="J66" t="e">
        <f t="shared" si="1"/>
        <v>#N/A</v>
      </c>
      <c r="K66">
        <f t="shared" si="2"/>
        <v>17.59</v>
      </c>
      <c r="L66">
        <f t="shared" si="3"/>
        <v>2.64</v>
      </c>
    </row>
    <row r="67" spans="1:12" x14ac:dyDescent="0.25">
      <c r="A67">
        <v>20.079999999999998</v>
      </c>
      <c r="B67">
        <v>3.15</v>
      </c>
      <c r="C67" t="s">
        <v>12</v>
      </c>
      <c r="D67" t="s">
        <v>9</v>
      </c>
      <c r="E67" t="s">
        <v>13</v>
      </c>
      <c r="F67" t="s">
        <v>11</v>
      </c>
      <c r="G67">
        <v>3</v>
      </c>
      <c r="H67">
        <v>15.6872509960159</v>
      </c>
      <c r="I67" t="e">
        <f t="shared" ref="I67:I130" si="4">IF($C67="Female",$A67,NA())</f>
        <v>#N/A</v>
      </c>
      <c r="J67" t="e">
        <f t="shared" ref="J67:J130" si="5">IF($C67="Female",$B67,NA())</f>
        <v>#N/A</v>
      </c>
      <c r="K67">
        <f t="shared" ref="K67:K130" si="6">IF($C67="Male",$A67,NA())</f>
        <v>20.079999999999998</v>
      </c>
      <c r="L67">
        <f t="shared" ref="L67:L130" si="7">IF($C67="Male",$B67,NA())</f>
        <v>3.15</v>
      </c>
    </row>
    <row r="68" spans="1:12" x14ac:dyDescent="0.25">
      <c r="A68">
        <v>16.45</v>
      </c>
      <c r="B68">
        <v>2.4700000000000002</v>
      </c>
      <c r="C68" t="s">
        <v>8</v>
      </c>
      <c r="D68" t="s">
        <v>9</v>
      </c>
      <c r="E68" t="s">
        <v>13</v>
      </c>
      <c r="F68" t="s">
        <v>11</v>
      </c>
      <c r="G68">
        <v>2</v>
      </c>
      <c r="H68">
        <v>15.015197568389</v>
      </c>
      <c r="I68">
        <f t="shared" si="4"/>
        <v>16.45</v>
      </c>
      <c r="J68">
        <f t="shared" si="5"/>
        <v>2.4700000000000002</v>
      </c>
      <c r="K68" t="e">
        <f t="shared" si="6"/>
        <v>#N/A</v>
      </c>
      <c r="L68" t="e">
        <f t="shared" si="7"/>
        <v>#N/A</v>
      </c>
    </row>
    <row r="69" spans="1:12" x14ac:dyDescent="0.25">
      <c r="A69">
        <v>3.07</v>
      </c>
      <c r="B69">
        <v>1</v>
      </c>
      <c r="C69" t="s">
        <v>8</v>
      </c>
      <c r="D69" t="s">
        <v>14</v>
      </c>
      <c r="E69" t="s">
        <v>13</v>
      </c>
      <c r="F69" t="s">
        <v>11</v>
      </c>
      <c r="G69">
        <v>1</v>
      </c>
      <c r="H69">
        <v>32.573289902280102</v>
      </c>
      <c r="I69">
        <f t="shared" si="4"/>
        <v>3.07</v>
      </c>
      <c r="J69">
        <f t="shared" si="5"/>
        <v>1</v>
      </c>
      <c r="K69" t="e">
        <f t="shared" si="6"/>
        <v>#N/A</v>
      </c>
      <c r="L69" t="e">
        <f t="shared" si="7"/>
        <v>#N/A</v>
      </c>
    </row>
    <row r="70" spans="1:12" x14ac:dyDescent="0.25">
      <c r="A70">
        <v>20.23</v>
      </c>
      <c r="B70">
        <v>2.0099999999999998</v>
      </c>
      <c r="C70" t="s">
        <v>12</v>
      </c>
      <c r="D70" t="s">
        <v>9</v>
      </c>
      <c r="E70" t="s">
        <v>13</v>
      </c>
      <c r="F70" t="s">
        <v>11</v>
      </c>
      <c r="G70">
        <v>2</v>
      </c>
      <c r="H70">
        <v>9.9357390014829399</v>
      </c>
      <c r="I70" t="e">
        <f t="shared" si="4"/>
        <v>#N/A</v>
      </c>
      <c r="J70" t="e">
        <f t="shared" si="5"/>
        <v>#N/A</v>
      </c>
      <c r="K70">
        <f t="shared" si="6"/>
        <v>20.23</v>
      </c>
      <c r="L70">
        <f t="shared" si="7"/>
        <v>2.0099999999999998</v>
      </c>
    </row>
    <row r="71" spans="1:12" x14ac:dyDescent="0.25">
      <c r="A71">
        <v>15.01</v>
      </c>
      <c r="B71">
        <v>2.09</v>
      </c>
      <c r="C71" t="s">
        <v>12</v>
      </c>
      <c r="D71" t="s">
        <v>14</v>
      </c>
      <c r="E71" t="s">
        <v>13</v>
      </c>
      <c r="F71" t="s">
        <v>11</v>
      </c>
      <c r="G71">
        <v>2</v>
      </c>
      <c r="H71">
        <v>13.9240506329113</v>
      </c>
      <c r="I71" t="e">
        <f t="shared" si="4"/>
        <v>#N/A</v>
      </c>
      <c r="J71" t="e">
        <f t="shared" si="5"/>
        <v>#N/A</v>
      </c>
      <c r="K71">
        <f t="shared" si="6"/>
        <v>15.01</v>
      </c>
      <c r="L71">
        <f t="shared" si="7"/>
        <v>2.09</v>
      </c>
    </row>
    <row r="72" spans="1:12" x14ac:dyDescent="0.25">
      <c r="A72">
        <v>12.02</v>
      </c>
      <c r="B72">
        <v>1.97</v>
      </c>
      <c r="C72" t="s">
        <v>12</v>
      </c>
      <c r="D72" t="s">
        <v>9</v>
      </c>
      <c r="E72" t="s">
        <v>13</v>
      </c>
      <c r="F72" t="s">
        <v>11</v>
      </c>
      <c r="G72">
        <v>2</v>
      </c>
      <c r="H72">
        <v>16.389351081530702</v>
      </c>
      <c r="I72" t="e">
        <f t="shared" si="4"/>
        <v>#N/A</v>
      </c>
      <c r="J72" t="e">
        <f t="shared" si="5"/>
        <v>#N/A</v>
      </c>
      <c r="K72">
        <f t="shared" si="6"/>
        <v>12.02</v>
      </c>
      <c r="L72">
        <f t="shared" si="7"/>
        <v>1.97</v>
      </c>
    </row>
    <row r="73" spans="1:12" x14ac:dyDescent="0.25">
      <c r="A73">
        <v>17.07</v>
      </c>
      <c r="B73">
        <v>3</v>
      </c>
      <c r="C73" t="s">
        <v>8</v>
      </c>
      <c r="D73" t="s">
        <v>9</v>
      </c>
      <c r="E73" t="s">
        <v>13</v>
      </c>
      <c r="F73" t="s">
        <v>11</v>
      </c>
      <c r="G73">
        <v>3</v>
      </c>
      <c r="H73">
        <v>17.574692442882199</v>
      </c>
      <c r="I73">
        <f t="shared" si="4"/>
        <v>17.07</v>
      </c>
      <c r="J73">
        <f t="shared" si="5"/>
        <v>3</v>
      </c>
      <c r="K73" t="e">
        <f t="shared" si="6"/>
        <v>#N/A</v>
      </c>
      <c r="L73" t="e">
        <f t="shared" si="7"/>
        <v>#N/A</v>
      </c>
    </row>
    <row r="74" spans="1:12" x14ac:dyDescent="0.25">
      <c r="A74">
        <v>26.86</v>
      </c>
      <c r="B74">
        <v>3.14</v>
      </c>
      <c r="C74" t="s">
        <v>8</v>
      </c>
      <c r="D74" t="s">
        <v>14</v>
      </c>
      <c r="E74" t="s">
        <v>13</v>
      </c>
      <c r="F74" t="s">
        <v>11</v>
      </c>
      <c r="G74">
        <v>2</v>
      </c>
      <c r="H74">
        <v>11.690245718540501</v>
      </c>
      <c r="I74">
        <f t="shared" si="4"/>
        <v>26.86</v>
      </c>
      <c r="J74">
        <f t="shared" si="5"/>
        <v>3.14</v>
      </c>
      <c r="K74" t="e">
        <f t="shared" si="6"/>
        <v>#N/A</v>
      </c>
      <c r="L74" t="e">
        <f t="shared" si="7"/>
        <v>#N/A</v>
      </c>
    </row>
    <row r="75" spans="1:12" x14ac:dyDescent="0.25">
      <c r="A75">
        <v>25.28</v>
      </c>
      <c r="B75">
        <v>5</v>
      </c>
      <c r="C75" t="s">
        <v>8</v>
      </c>
      <c r="D75" t="s">
        <v>14</v>
      </c>
      <c r="E75" t="s">
        <v>13</v>
      </c>
      <c r="F75" t="s">
        <v>11</v>
      </c>
      <c r="G75">
        <v>2</v>
      </c>
      <c r="H75">
        <v>19.778481012658201</v>
      </c>
      <c r="I75">
        <f t="shared" si="4"/>
        <v>25.28</v>
      </c>
      <c r="J75">
        <f t="shared" si="5"/>
        <v>5</v>
      </c>
      <c r="K75" t="e">
        <f t="shared" si="6"/>
        <v>#N/A</v>
      </c>
      <c r="L75" t="e">
        <f t="shared" si="7"/>
        <v>#N/A</v>
      </c>
    </row>
    <row r="76" spans="1:12" x14ac:dyDescent="0.25">
      <c r="A76">
        <v>14.73</v>
      </c>
      <c r="B76">
        <v>2.2000000000000002</v>
      </c>
      <c r="C76" t="s">
        <v>8</v>
      </c>
      <c r="D76" t="s">
        <v>9</v>
      </c>
      <c r="E76" t="s">
        <v>13</v>
      </c>
      <c r="F76" t="s">
        <v>11</v>
      </c>
      <c r="G76">
        <v>2</v>
      </c>
      <c r="H76">
        <v>14.935505770536301</v>
      </c>
      <c r="I76">
        <f t="shared" si="4"/>
        <v>14.73</v>
      </c>
      <c r="J76">
        <f t="shared" si="5"/>
        <v>2.2000000000000002</v>
      </c>
      <c r="K76" t="e">
        <f t="shared" si="6"/>
        <v>#N/A</v>
      </c>
      <c r="L76" t="e">
        <f t="shared" si="7"/>
        <v>#N/A</v>
      </c>
    </row>
    <row r="77" spans="1:12" x14ac:dyDescent="0.25">
      <c r="A77">
        <v>10.51</v>
      </c>
      <c r="B77">
        <v>1.25</v>
      </c>
      <c r="C77" t="s">
        <v>12</v>
      </c>
      <c r="D77" t="s">
        <v>9</v>
      </c>
      <c r="E77" t="s">
        <v>13</v>
      </c>
      <c r="F77" t="s">
        <v>11</v>
      </c>
      <c r="G77">
        <v>2</v>
      </c>
      <c r="H77">
        <v>11.893434823977101</v>
      </c>
      <c r="I77" t="e">
        <f t="shared" si="4"/>
        <v>#N/A</v>
      </c>
      <c r="J77" t="e">
        <f t="shared" si="5"/>
        <v>#N/A</v>
      </c>
      <c r="K77">
        <f t="shared" si="6"/>
        <v>10.51</v>
      </c>
      <c r="L77">
        <f t="shared" si="7"/>
        <v>1.25</v>
      </c>
    </row>
    <row r="78" spans="1:12" x14ac:dyDescent="0.25">
      <c r="A78">
        <v>17.920000000000002</v>
      </c>
      <c r="B78">
        <v>3.08</v>
      </c>
      <c r="C78" t="s">
        <v>12</v>
      </c>
      <c r="D78" t="s">
        <v>14</v>
      </c>
      <c r="E78" t="s">
        <v>13</v>
      </c>
      <c r="F78" t="s">
        <v>11</v>
      </c>
      <c r="G78">
        <v>2</v>
      </c>
      <c r="H78">
        <v>17.1875</v>
      </c>
      <c r="I78" t="e">
        <f t="shared" si="4"/>
        <v>#N/A</v>
      </c>
      <c r="J78" t="e">
        <f t="shared" si="5"/>
        <v>#N/A</v>
      </c>
      <c r="K78">
        <f t="shared" si="6"/>
        <v>17.920000000000002</v>
      </c>
      <c r="L78">
        <f t="shared" si="7"/>
        <v>3.08</v>
      </c>
    </row>
    <row r="79" spans="1:12" x14ac:dyDescent="0.25">
      <c r="A79">
        <v>27.2</v>
      </c>
      <c r="B79">
        <v>4</v>
      </c>
      <c r="C79" t="s">
        <v>12</v>
      </c>
      <c r="D79" t="s">
        <v>9</v>
      </c>
      <c r="E79" t="s">
        <v>15</v>
      </c>
      <c r="F79" t="s">
        <v>16</v>
      </c>
      <c r="G79">
        <v>4</v>
      </c>
      <c r="H79">
        <v>14.705882352941099</v>
      </c>
      <c r="I79" t="e">
        <f t="shared" si="4"/>
        <v>#N/A</v>
      </c>
      <c r="J79" t="e">
        <f t="shared" si="5"/>
        <v>#N/A</v>
      </c>
      <c r="K79">
        <f t="shared" si="6"/>
        <v>27.2</v>
      </c>
      <c r="L79">
        <f t="shared" si="7"/>
        <v>4</v>
      </c>
    </row>
    <row r="80" spans="1:12" x14ac:dyDescent="0.25">
      <c r="A80">
        <v>22.76</v>
      </c>
      <c r="B80">
        <v>3</v>
      </c>
      <c r="C80" t="s">
        <v>12</v>
      </c>
      <c r="D80" t="s">
        <v>9</v>
      </c>
      <c r="E80" t="s">
        <v>15</v>
      </c>
      <c r="F80" t="s">
        <v>16</v>
      </c>
      <c r="G80">
        <v>2</v>
      </c>
      <c r="H80">
        <v>13.1810193321616</v>
      </c>
      <c r="I80" t="e">
        <f t="shared" si="4"/>
        <v>#N/A</v>
      </c>
      <c r="J80" t="e">
        <f t="shared" si="5"/>
        <v>#N/A</v>
      </c>
      <c r="K80">
        <f t="shared" si="6"/>
        <v>22.76</v>
      </c>
      <c r="L80">
        <f t="shared" si="7"/>
        <v>3</v>
      </c>
    </row>
    <row r="81" spans="1:12" x14ac:dyDescent="0.25">
      <c r="A81">
        <v>17.29</v>
      </c>
      <c r="B81">
        <v>2.71</v>
      </c>
      <c r="C81" t="s">
        <v>12</v>
      </c>
      <c r="D81" t="s">
        <v>9</v>
      </c>
      <c r="E81" t="s">
        <v>15</v>
      </c>
      <c r="F81" t="s">
        <v>16</v>
      </c>
      <c r="G81">
        <v>2</v>
      </c>
      <c r="H81">
        <v>15.673799884326201</v>
      </c>
      <c r="I81" t="e">
        <f t="shared" si="4"/>
        <v>#N/A</v>
      </c>
      <c r="J81" t="e">
        <f t="shared" si="5"/>
        <v>#N/A</v>
      </c>
      <c r="K81">
        <f t="shared" si="6"/>
        <v>17.29</v>
      </c>
      <c r="L81">
        <f t="shared" si="7"/>
        <v>2.71</v>
      </c>
    </row>
    <row r="82" spans="1:12" x14ac:dyDescent="0.25">
      <c r="A82">
        <v>19.440000000000001</v>
      </c>
      <c r="B82">
        <v>3</v>
      </c>
      <c r="C82" t="s">
        <v>12</v>
      </c>
      <c r="D82" t="s">
        <v>14</v>
      </c>
      <c r="E82" t="s">
        <v>15</v>
      </c>
      <c r="F82" t="s">
        <v>16</v>
      </c>
      <c r="G82">
        <v>2</v>
      </c>
      <c r="H82">
        <v>15.432098765432</v>
      </c>
      <c r="I82" t="e">
        <f t="shared" si="4"/>
        <v>#N/A</v>
      </c>
      <c r="J82" t="e">
        <f t="shared" si="5"/>
        <v>#N/A</v>
      </c>
      <c r="K82">
        <f t="shared" si="6"/>
        <v>19.440000000000001</v>
      </c>
      <c r="L82">
        <f t="shared" si="7"/>
        <v>3</v>
      </c>
    </row>
    <row r="83" spans="1:12" x14ac:dyDescent="0.25">
      <c r="A83">
        <v>16.66</v>
      </c>
      <c r="B83">
        <v>3.4</v>
      </c>
      <c r="C83" t="s">
        <v>12</v>
      </c>
      <c r="D83" t="s">
        <v>9</v>
      </c>
      <c r="E83" t="s">
        <v>15</v>
      </c>
      <c r="F83" t="s">
        <v>16</v>
      </c>
      <c r="G83">
        <v>2</v>
      </c>
      <c r="H83">
        <v>20.408163265306101</v>
      </c>
      <c r="I83" t="e">
        <f t="shared" si="4"/>
        <v>#N/A</v>
      </c>
      <c r="J83" t="e">
        <f t="shared" si="5"/>
        <v>#N/A</v>
      </c>
      <c r="K83">
        <f t="shared" si="6"/>
        <v>16.66</v>
      </c>
      <c r="L83">
        <f t="shared" si="7"/>
        <v>3.4</v>
      </c>
    </row>
    <row r="84" spans="1:12" x14ac:dyDescent="0.25">
      <c r="A84">
        <v>10.07</v>
      </c>
      <c r="B84">
        <v>1.83</v>
      </c>
      <c r="C84" t="s">
        <v>8</v>
      </c>
      <c r="D84" t="s">
        <v>9</v>
      </c>
      <c r="E84" t="s">
        <v>15</v>
      </c>
      <c r="F84" t="s">
        <v>16</v>
      </c>
      <c r="G84">
        <v>1</v>
      </c>
      <c r="H84">
        <v>18.172790466732799</v>
      </c>
      <c r="I84">
        <f t="shared" si="4"/>
        <v>10.07</v>
      </c>
      <c r="J84">
        <f t="shared" si="5"/>
        <v>1.83</v>
      </c>
      <c r="K84" t="e">
        <f t="shared" si="6"/>
        <v>#N/A</v>
      </c>
      <c r="L84" t="e">
        <f t="shared" si="7"/>
        <v>#N/A</v>
      </c>
    </row>
    <row r="85" spans="1:12" x14ac:dyDescent="0.25">
      <c r="A85">
        <v>32.68</v>
      </c>
      <c r="B85">
        <v>5</v>
      </c>
      <c r="C85" t="s">
        <v>12</v>
      </c>
      <c r="D85" t="s">
        <v>14</v>
      </c>
      <c r="E85" t="s">
        <v>15</v>
      </c>
      <c r="F85" t="s">
        <v>16</v>
      </c>
      <c r="G85">
        <v>2</v>
      </c>
      <c r="H85">
        <v>15.2998776009791</v>
      </c>
      <c r="I85" t="e">
        <f t="shared" si="4"/>
        <v>#N/A</v>
      </c>
      <c r="J85" t="e">
        <f t="shared" si="5"/>
        <v>#N/A</v>
      </c>
      <c r="K85">
        <f t="shared" si="6"/>
        <v>32.68</v>
      </c>
      <c r="L85">
        <f t="shared" si="7"/>
        <v>5</v>
      </c>
    </row>
    <row r="86" spans="1:12" x14ac:dyDescent="0.25">
      <c r="A86">
        <v>15.98</v>
      </c>
      <c r="B86">
        <v>2.0299999999999998</v>
      </c>
      <c r="C86" t="s">
        <v>12</v>
      </c>
      <c r="D86" t="s">
        <v>9</v>
      </c>
      <c r="E86" t="s">
        <v>15</v>
      </c>
      <c r="F86" t="s">
        <v>16</v>
      </c>
      <c r="G86">
        <v>2</v>
      </c>
      <c r="H86">
        <v>12.70337922403</v>
      </c>
      <c r="I86" t="e">
        <f t="shared" si="4"/>
        <v>#N/A</v>
      </c>
      <c r="J86" t="e">
        <f t="shared" si="5"/>
        <v>#N/A</v>
      </c>
      <c r="K86">
        <f t="shared" si="6"/>
        <v>15.98</v>
      </c>
      <c r="L86">
        <f t="shared" si="7"/>
        <v>2.0299999999999998</v>
      </c>
    </row>
    <row r="87" spans="1:12" x14ac:dyDescent="0.25">
      <c r="A87">
        <v>34.83</v>
      </c>
      <c r="B87">
        <v>5.17</v>
      </c>
      <c r="C87" t="s">
        <v>8</v>
      </c>
      <c r="D87" t="s">
        <v>9</v>
      </c>
      <c r="E87" t="s">
        <v>15</v>
      </c>
      <c r="F87" t="s">
        <v>16</v>
      </c>
      <c r="G87">
        <v>4</v>
      </c>
      <c r="H87">
        <v>14.8435256962388</v>
      </c>
      <c r="I87">
        <f t="shared" si="4"/>
        <v>34.83</v>
      </c>
      <c r="J87">
        <f t="shared" si="5"/>
        <v>5.17</v>
      </c>
      <c r="K87" t="e">
        <f t="shared" si="6"/>
        <v>#N/A</v>
      </c>
      <c r="L87" t="e">
        <f t="shared" si="7"/>
        <v>#N/A</v>
      </c>
    </row>
    <row r="88" spans="1:12" x14ac:dyDescent="0.25">
      <c r="A88">
        <v>13.03</v>
      </c>
      <c r="B88">
        <v>2</v>
      </c>
      <c r="C88" t="s">
        <v>12</v>
      </c>
      <c r="D88" t="s">
        <v>9</v>
      </c>
      <c r="E88" t="s">
        <v>15</v>
      </c>
      <c r="F88" t="s">
        <v>16</v>
      </c>
      <c r="G88">
        <v>2</v>
      </c>
      <c r="H88">
        <v>15.3491941673062</v>
      </c>
      <c r="I88" t="e">
        <f t="shared" si="4"/>
        <v>#N/A</v>
      </c>
      <c r="J88" t="e">
        <f t="shared" si="5"/>
        <v>#N/A</v>
      </c>
      <c r="K88">
        <f t="shared" si="6"/>
        <v>13.03</v>
      </c>
      <c r="L88">
        <f t="shared" si="7"/>
        <v>2</v>
      </c>
    </row>
    <row r="89" spans="1:12" x14ac:dyDescent="0.25">
      <c r="A89">
        <v>18.28</v>
      </c>
      <c r="B89">
        <v>4</v>
      </c>
      <c r="C89" t="s">
        <v>12</v>
      </c>
      <c r="D89" t="s">
        <v>9</v>
      </c>
      <c r="E89" t="s">
        <v>15</v>
      </c>
      <c r="F89" t="s">
        <v>16</v>
      </c>
      <c r="G89">
        <v>2</v>
      </c>
      <c r="H89">
        <v>21.8818380743982</v>
      </c>
      <c r="I89" t="e">
        <f t="shared" si="4"/>
        <v>#N/A</v>
      </c>
      <c r="J89" t="e">
        <f t="shared" si="5"/>
        <v>#N/A</v>
      </c>
      <c r="K89">
        <f t="shared" si="6"/>
        <v>18.28</v>
      </c>
      <c r="L89">
        <f t="shared" si="7"/>
        <v>4</v>
      </c>
    </row>
    <row r="90" spans="1:12" x14ac:dyDescent="0.25">
      <c r="A90">
        <v>24.71</v>
      </c>
      <c r="B90">
        <v>5.85</v>
      </c>
      <c r="C90" t="s">
        <v>12</v>
      </c>
      <c r="D90" t="s">
        <v>9</v>
      </c>
      <c r="E90" t="s">
        <v>15</v>
      </c>
      <c r="F90" t="s">
        <v>16</v>
      </c>
      <c r="G90">
        <v>2</v>
      </c>
      <c r="H90">
        <v>23.6746256576284</v>
      </c>
      <c r="I90" t="e">
        <f t="shared" si="4"/>
        <v>#N/A</v>
      </c>
      <c r="J90" t="e">
        <f t="shared" si="5"/>
        <v>#N/A</v>
      </c>
      <c r="K90">
        <f t="shared" si="6"/>
        <v>24.71</v>
      </c>
      <c r="L90">
        <f t="shared" si="7"/>
        <v>5.85</v>
      </c>
    </row>
    <row r="91" spans="1:12" x14ac:dyDescent="0.25">
      <c r="A91">
        <v>21.16</v>
      </c>
      <c r="B91">
        <v>3</v>
      </c>
      <c r="C91" t="s">
        <v>12</v>
      </c>
      <c r="D91" t="s">
        <v>9</v>
      </c>
      <c r="E91" t="s">
        <v>15</v>
      </c>
      <c r="F91" t="s">
        <v>16</v>
      </c>
      <c r="G91">
        <v>2</v>
      </c>
      <c r="H91">
        <v>14.1776937618147</v>
      </c>
      <c r="I91" t="e">
        <f t="shared" si="4"/>
        <v>#N/A</v>
      </c>
      <c r="J91" t="e">
        <f t="shared" si="5"/>
        <v>#N/A</v>
      </c>
      <c r="K91">
        <f t="shared" si="6"/>
        <v>21.16</v>
      </c>
      <c r="L91">
        <f t="shared" si="7"/>
        <v>3</v>
      </c>
    </row>
    <row r="92" spans="1:12" x14ac:dyDescent="0.25">
      <c r="A92">
        <v>28.97</v>
      </c>
      <c r="B92">
        <v>3</v>
      </c>
      <c r="C92" t="s">
        <v>12</v>
      </c>
      <c r="D92" t="s">
        <v>14</v>
      </c>
      <c r="E92" t="s">
        <v>17</v>
      </c>
      <c r="F92" t="s">
        <v>11</v>
      </c>
      <c r="G92">
        <v>2</v>
      </c>
      <c r="H92">
        <v>10.3555402140144</v>
      </c>
      <c r="I92" t="e">
        <f t="shared" si="4"/>
        <v>#N/A</v>
      </c>
      <c r="J92" t="e">
        <f t="shared" si="5"/>
        <v>#N/A</v>
      </c>
      <c r="K92">
        <f t="shared" si="6"/>
        <v>28.97</v>
      </c>
      <c r="L92">
        <f t="shared" si="7"/>
        <v>3</v>
      </c>
    </row>
    <row r="93" spans="1:12" x14ac:dyDescent="0.25">
      <c r="A93">
        <v>22.49</v>
      </c>
      <c r="B93">
        <v>3.5</v>
      </c>
      <c r="C93" t="s">
        <v>12</v>
      </c>
      <c r="D93" t="s">
        <v>9</v>
      </c>
      <c r="E93" t="s">
        <v>17</v>
      </c>
      <c r="F93" t="s">
        <v>11</v>
      </c>
      <c r="G93">
        <v>2</v>
      </c>
      <c r="H93">
        <v>15.562472209871</v>
      </c>
      <c r="I93" t="e">
        <f t="shared" si="4"/>
        <v>#N/A</v>
      </c>
      <c r="J93" t="e">
        <f t="shared" si="5"/>
        <v>#N/A</v>
      </c>
      <c r="K93">
        <f t="shared" si="6"/>
        <v>22.49</v>
      </c>
      <c r="L93">
        <f t="shared" si="7"/>
        <v>3.5</v>
      </c>
    </row>
    <row r="94" spans="1:12" x14ac:dyDescent="0.25">
      <c r="A94">
        <v>5.75</v>
      </c>
      <c r="B94">
        <v>1</v>
      </c>
      <c r="C94" t="s">
        <v>8</v>
      </c>
      <c r="D94" t="s">
        <v>14</v>
      </c>
      <c r="E94" t="s">
        <v>17</v>
      </c>
      <c r="F94" t="s">
        <v>11</v>
      </c>
      <c r="G94">
        <v>2</v>
      </c>
      <c r="H94">
        <v>17.391304347826001</v>
      </c>
      <c r="I94">
        <f t="shared" si="4"/>
        <v>5.75</v>
      </c>
      <c r="J94">
        <f t="shared" si="5"/>
        <v>1</v>
      </c>
      <c r="K94" t="e">
        <f t="shared" si="6"/>
        <v>#N/A</v>
      </c>
      <c r="L94" t="e">
        <f t="shared" si="7"/>
        <v>#N/A</v>
      </c>
    </row>
    <row r="95" spans="1:12" x14ac:dyDescent="0.25">
      <c r="A95">
        <v>16.32</v>
      </c>
      <c r="B95">
        <v>4.3</v>
      </c>
      <c r="C95" t="s">
        <v>8</v>
      </c>
      <c r="D95" t="s">
        <v>14</v>
      </c>
      <c r="E95" t="s">
        <v>17</v>
      </c>
      <c r="F95" t="s">
        <v>11</v>
      </c>
      <c r="G95">
        <v>2</v>
      </c>
      <c r="H95">
        <v>26.3480392156862</v>
      </c>
      <c r="I95">
        <f t="shared" si="4"/>
        <v>16.32</v>
      </c>
      <c r="J95">
        <f t="shared" si="5"/>
        <v>4.3</v>
      </c>
      <c r="K95" t="e">
        <f t="shared" si="6"/>
        <v>#N/A</v>
      </c>
      <c r="L95" t="e">
        <f t="shared" si="7"/>
        <v>#N/A</v>
      </c>
    </row>
    <row r="96" spans="1:12" x14ac:dyDescent="0.25">
      <c r="A96">
        <v>22.75</v>
      </c>
      <c r="B96">
        <v>3.25</v>
      </c>
      <c r="C96" t="s">
        <v>8</v>
      </c>
      <c r="D96" t="s">
        <v>9</v>
      </c>
      <c r="E96" t="s">
        <v>17</v>
      </c>
      <c r="F96" t="s">
        <v>11</v>
      </c>
      <c r="G96">
        <v>2</v>
      </c>
      <c r="H96">
        <v>14.285714285714199</v>
      </c>
      <c r="I96">
        <f t="shared" si="4"/>
        <v>22.75</v>
      </c>
      <c r="J96">
        <f t="shared" si="5"/>
        <v>3.25</v>
      </c>
      <c r="K96" t="e">
        <f t="shared" si="6"/>
        <v>#N/A</v>
      </c>
      <c r="L96" t="e">
        <f t="shared" si="7"/>
        <v>#N/A</v>
      </c>
    </row>
    <row r="97" spans="1:12" x14ac:dyDescent="0.25">
      <c r="A97">
        <v>40.17</v>
      </c>
      <c r="B97">
        <v>4.7300000000000004</v>
      </c>
      <c r="C97" t="s">
        <v>12</v>
      </c>
      <c r="D97" t="s">
        <v>14</v>
      </c>
      <c r="E97" t="s">
        <v>17</v>
      </c>
      <c r="F97" t="s">
        <v>11</v>
      </c>
      <c r="G97">
        <v>4</v>
      </c>
      <c r="H97">
        <v>11.7749564351506</v>
      </c>
      <c r="I97" t="e">
        <f t="shared" si="4"/>
        <v>#N/A</v>
      </c>
      <c r="J97" t="e">
        <f t="shared" si="5"/>
        <v>#N/A</v>
      </c>
      <c r="K97">
        <f t="shared" si="6"/>
        <v>40.17</v>
      </c>
      <c r="L97">
        <f t="shared" si="7"/>
        <v>4.7300000000000004</v>
      </c>
    </row>
    <row r="98" spans="1:12" x14ac:dyDescent="0.25">
      <c r="A98">
        <v>27.28</v>
      </c>
      <c r="B98">
        <v>4</v>
      </c>
      <c r="C98" t="s">
        <v>12</v>
      </c>
      <c r="D98" t="s">
        <v>14</v>
      </c>
      <c r="E98" t="s">
        <v>17</v>
      </c>
      <c r="F98" t="s">
        <v>11</v>
      </c>
      <c r="G98">
        <v>2</v>
      </c>
      <c r="H98">
        <v>14.662756598240399</v>
      </c>
      <c r="I98" t="e">
        <f t="shared" si="4"/>
        <v>#N/A</v>
      </c>
      <c r="J98" t="e">
        <f t="shared" si="5"/>
        <v>#N/A</v>
      </c>
      <c r="K98">
        <f t="shared" si="6"/>
        <v>27.28</v>
      </c>
      <c r="L98">
        <f t="shared" si="7"/>
        <v>4</v>
      </c>
    </row>
    <row r="99" spans="1:12" x14ac:dyDescent="0.25">
      <c r="A99">
        <v>12.03</v>
      </c>
      <c r="B99">
        <v>1.5</v>
      </c>
      <c r="C99" t="s">
        <v>12</v>
      </c>
      <c r="D99" t="s">
        <v>14</v>
      </c>
      <c r="E99" t="s">
        <v>17</v>
      </c>
      <c r="F99" t="s">
        <v>11</v>
      </c>
      <c r="G99">
        <v>2</v>
      </c>
      <c r="H99">
        <v>12.4688279301745</v>
      </c>
      <c r="I99" t="e">
        <f t="shared" si="4"/>
        <v>#N/A</v>
      </c>
      <c r="J99" t="e">
        <f t="shared" si="5"/>
        <v>#N/A</v>
      </c>
      <c r="K99">
        <f t="shared" si="6"/>
        <v>12.03</v>
      </c>
      <c r="L99">
        <f t="shared" si="7"/>
        <v>1.5</v>
      </c>
    </row>
    <row r="100" spans="1:12" x14ac:dyDescent="0.25">
      <c r="A100">
        <v>21.01</v>
      </c>
      <c r="B100">
        <v>3</v>
      </c>
      <c r="C100" t="s">
        <v>12</v>
      </c>
      <c r="D100" t="s">
        <v>14</v>
      </c>
      <c r="E100" t="s">
        <v>17</v>
      </c>
      <c r="F100" t="s">
        <v>11</v>
      </c>
      <c r="G100">
        <v>2</v>
      </c>
      <c r="H100">
        <v>14.278914802475001</v>
      </c>
      <c r="I100" t="e">
        <f t="shared" si="4"/>
        <v>#N/A</v>
      </c>
      <c r="J100" t="e">
        <f t="shared" si="5"/>
        <v>#N/A</v>
      </c>
      <c r="K100">
        <f t="shared" si="6"/>
        <v>21.01</v>
      </c>
      <c r="L100">
        <f t="shared" si="7"/>
        <v>3</v>
      </c>
    </row>
    <row r="101" spans="1:12" x14ac:dyDescent="0.25">
      <c r="A101">
        <v>12.46</v>
      </c>
      <c r="B101">
        <v>1.5</v>
      </c>
      <c r="C101" t="s">
        <v>12</v>
      </c>
      <c r="D101" t="s">
        <v>9</v>
      </c>
      <c r="E101" t="s">
        <v>17</v>
      </c>
      <c r="F101" t="s">
        <v>11</v>
      </c>
      <c r="G101">
        <v>2</v>
      </c>
      <c r="H101">
        <v>12.038523274478299</v>
      </c>
      <c r="I101" t="e">
        <f t="shared" si="4"/>
        <v>#N/A</v>
      </c>
      <c r="J101" t="e">
        <f t="shared" si="5"/>
        <v>#N/A</v>
      </c>
      <c r="K101">
        <f t="shared" si="6"/>
        <v>12.46</v>
      </c>
      <c r="L101">
        <f t="shared" si="7"/>
        <v>1.5</v>
      </c>
    </row>
    <row r="102" spans="1:12" x14ac:dyDescent="0.25">
      <c r="A102">
        <v>11.35</v>
      </c>
      <c r="B102">
        <v>2.5</v>
      </c>
      <c r="C102" t="s">
        <v>8</v>
      </c>
      <c r="D102" t="s">
        <v>14</v>
      </c>
      <c r="E102" t="s">
        <v>17</v>
      </c>
      <c r="F102" t="s">
        <v>11</v>
      </c>
      <c r="G102">
        <v>2</v>
      </c>
      <c r="H102">
        <v>22.026431718061598</v>
      </c>
      <c r="I102">
        <f t="shared" si="4"/>
        <v>11.35</v>
      </c>
      <c r="J102">
        <f t="shared" si="5"/>
        <v>2.5</v>
      </c>
      <c r="K102" t="e">
        <f t="shared" si="6"/>
        <v>#N/A</v>
      </c>
      <c r="L102" t="e">
        <f t="shared" si="7"/>
        <v>#N/A</v>
      </c>
    </row>
    <row r="103" spans="1:12" x14ac:dyDescent="0.25">
      <c r="A103">
        <v>15.38</v>
      </c>
      <c r="B103">
        <v>3</v>
      </c>
      <c r="C103" t="s">
        <v>8</v>
      </c>
      <c r="D103" t="s">
        <v>14</v>
      </c>
      <c r="E103" t="s">
        <v>17</v>
      </c>
      <c r="F103" t="s">
        <v>11</v>
      </c>
      <c r="G103">
        <v>2</v>
      </c>
      <c r="H103">
        <v>19.505851755526599</v>
      </c>
      <c r="I103">
        <f t="shared" si="4"/>
        <v>15.38</v>
      </c>
      <c r="J103">
        <f t="shared" si="5"/>
        <v>3</v>
      </c>
      <c r="K103" t="e">
        <f t="shared" si="6"/>
        <v>#N/A</v>
      </c>
      <c r="L103" t="e">
        <f t="shared" si="7"/>
        <v>#N/A</v>
      </c>
    </row>
    <row r="104" spans="1:12" x14ac:dyDescent="0.25">
      <c r="A104">
        <v>44.3</v>
      </c>
      <c r="B104">
        <v>2.5</v>
      </c>
      <c r="C104" t="s">
        <v>8</v>
      </c>
      <c r="D104" t="s">
        <v>14</v>
      </c>
      <c r="E104" t="s">
        <v>13</v>
      </c>
      <c r="F104" t="s">
        <v>11</v>
      </c>
      <c r="G104">
        <v>3</v>
      </c>
      <c r="H104">
        <v>5.6433408577878099</v>
      </c>
      <c r="I104">
        <f t="shared" si="4"/>
        <v>44.3</v>
      </c>
      <c r="J104">
        <f t="shared" si="5"/>
        <v>2.5</v>
      </c>
      <c r="K104" t="e">
        <f t="shared" si="6"/>
        <v>#N/A</v>
      </c>
      <c r="L104" t="e">
        <f t="shared" si="7"/>
        <v>#N/A</v>
      </c>
    </row>
    <row r="105" spans="1:12" x14ac:dyDescent="0.25">
      <c r="A105">
        <v>22.42</v>
      </c>
      <c r="B105">
        <v>3.48</v>
      </c>
      <c r="C105" t="s">
        <v>8</v>
      </c>
      <c r="D105" t="s">
        <v>14</v>
      </c>
      <c r="E105" t="s">
        <v>13</v>
      </c>
      <c r="F105" t="s">
        <v>11</v>
      </c>
      <c r="G105">
        <v>2</v>
      </c>
      <c r="H105">
        <v>15.521855486172999</v>
      </c>
      <c r="I105">
        <f t="shared" si="4"/>
        <v>22.42</v>
      </c>
      <c r="J105">
        <f t="shared" si="5"/>
        <v>3.48</v>
      </c>
      <c r="K105" t="e">
        <f t="shared" si="6"/>
        <v>#N/A</v>
      </c>
      <c r="L105" t="e">
        <f t="shared" si="7"/>
        <v>#N/A</v>
      </c>
    </row>
    <row r="106" spans="1:12" x14ac:dyDescent="0.25">
      <c r="A106">
        <v>20.92</v>
      </c>
      <c r="B106">
        <v>4.08</v>
      </c>
      <c r="C106" t="s">
        <v>8</v>
      </c>
      <c r="D106" t="s">
        <v>9</v>
      </c>
      <c r="E106" t="s">
        <v>13</v>
      </c>
      <c r="F106" t="s">
        <v>11</v>
      </c>
      <c r="G106">
        <v>2</v>
      </c>
      <c r="H106">
        <v>19.5028680688336</v>
      </c>
      <c r="I106">
        <f t="shared" si="4"/>
        <v>20.92</v>
      </c>
      <c r="J106">
        <f t="shared" si="5"/>
        <v>4.08</v>
      </c>
      <c r="K106" t="e">
        <f t="shared" si="6"/>
        <v>#N/A</v>
      </c>
      <c r="L106" t="e">
        <f t="shared" si="7"/>
        <v>#N/A</v>
      </c>
    </row>
    <row r="107" spans="1:12" x14ac:dyDescent="0.25">
      <c r="A107">
        <v>15.36</v>
      </c>
      <c r="B107">
        <v>1.64</v>
      </c>
      <c r="C107" t="s">
        <v>12</v>
      </c>
      <c r="D107" t="s">
        <v>14</v>
      </c>
      <c r="E107" t="s">
        <v>13</v>
      </c>
      <c r="F107" t="s">
        <v>11</v>
      </c>
      <c r="G107">
        <v>2</v>
      </c>
      <c r="H107">
        <v>10.6770833333333</v>
      </c>
      <c r="I107" t="e">
        <f t="shared" si="4"/>
        <v>#N/A</v>
      </c>
      <c r="J107" t="e">
        <f t="shared" si="5"/>
        <v>#N/A</v>
      </c>
      <c r="K107">
        <f t="shared" si="6"/>
        <v>15.36</v>
      </c>
      <c r="L107">
        <f t="shared" si="7"/>
        <v>1.64</v>
      </c>
    </row>
    <row r="108" spans="1:12" x14ac:dyDescent="0.25">
      <c r="A108">
        <v>20.49</v>
      </c>
      <c r="B108">
        <v>4.0599999999999996</v>
      </c>
      <c r="C108" t="s">
        <v>12</v>
      </c>
      <c r="D108" t="s">
        <v>14</v>
      </c>
      <c r="E108" t="s">
        <v>13</v>
      </c>
      <c r="F108" t="s">
        <v>11</v>
      </c>
      <c r="G108">
        <v>2</v>
      </c>
      <c r="H108">
        <v>19.814543679843801</v>
      </c>
      <c r="I108" t="e">
        <f t="shared" si="4"/>
        <v>#N/A</v>
      </c>
      <c r="J108" t="e">
        <f t="shared" si="5"/>
        <v>#N/A</v>
      </c>
      <c r="K108">
        <f t="shared" si="6"/>
        <v>20.49</v>
      </c>
      <c r="L108">
        <f t="shared" si="7"/>
        <v>4.0599999999999996</v>
      </c>
    </row>
    <row r="109" spans="1:12" x14ac:dyDescent="0.25">
      <c r="A109">
        <v>25.21</v>
      </c>
      <c r="B109">
        <v>4.29</v>
      </c>
      <c r="C109" t="s">
        <v>12</v>
      </c>
      <c r="D109" t="s">
        <v>14</v>
      </c>
      <c r="E109" t="s">
        <v>13</v>
      </c>
      <c r="F109" t="s">
        <v>11</v>
      </c>
      <c r="G109">
        <v>2</v>
      </c>
      <c r="H109">
        <v>17.017056723522401</v>
      </c>
      <c r="I109" t="e">
        <f t="shared" si="4"/>
        <v>#N/A</v>
      </c>
      <c r="J109" t="e">
        <f t="shared" si="5"/>
        <v>#N/A</v>
      </c>
      <c r="K109">
        <f t="shared" si="6"/>
        <v>25.21</v>
      </c>
      <c r="L109">
        <f t="shared" si="7"/>
        <v>4.29</v>
      </c>
    </row>
    <row r="110" spans="1:12" x14ac:dyDescent="0.25">
      <c r="A110">
        <v>18.239999999999998</v>
      </c>
      <c r="B110">
        <v>3.76</v>
      </c>
      <c r="C110" t="s">
        <v>12</v>
      </c>
      <c r="D110" t="s">
        <v>9</v>
      </c>
      <c r="E110" t="s">
        <v>13</v>
      </c>
      <c r="F110" t="s">
        <v>11</v>
      </c>
      <c r="G110">
        <v>2</v>
      </c>
      <c r="H110">
        <v>20.614035087719198</v>
      </c>
      <c r="I110" t="e">
        <f t="shared" si="4"/>
        <v>#N/A</v>
      </c>
      <c r="J110" t="e">
        <f t="shared" si="5"/>
        <v>#N/A</v>
      </c>
      <c r="K110">
        <f t="shared" si="6"/>
        <v>18.239999999999998</v>
      </c>
      <c r="L110">
        <f t="shared" si="7"/>
        <v>3.76</v>
      </c>
    </row>
    <row r="111" spans="1:12" x14ac:dyDescent="0.25">
      <c r="A111">
        <v>14.31</v>
      </c>
      <c r="B111">
        <v>4</v>
      </c>
      <c r="C111" t="s">
        <v>8</v>
      </c>
      <c r="D111" t="s">
        <v>14</v>
      </c>
      <c r="E111" t="s">
        <v>13</v>
      </c>
      <c r="F111" t="s">
        <v>11</v>
      </c>
      <c r="G111">
        <v>2</v>
      </c>
      <c r="H111">
        <v>27.952480782669401</v>
      </c>
      <c r="I111">
        <f t="shared" si="4"/>
        <v>14.31</v>
      </c>
      <c r="J111">
        <f t="shared" si="5"/>
        <v>4</v>
      </c>
      <c r="K111" t="e">
        <f t="shared" si="6"/>
        <v>#N/A</v>
      </c>
      <c r="L111" t="e">
        <f t="shared" si="7"/>
        <v>#N/A</v>
      </c>
    </row>
    <row r="112" spans="1:12" x14ac:dyDescent="0.25">
      <c r="A112">
        <v>14</v>
      </c>
      <c r="B112">
        <v>3</v>
      </c>
      <c r="C112" t="s">
        <v>12</v>
      </c>
      <c r="D112" t="s">
        <v>9</v>
      </c>
      <c r="E112" t="s">
        <v>13</v>
      </c>
      <c r="F112" t="s">
        <v>11</v>
      </c>
      <c r="G112">
        <v>2</v>
      </c>
      <c r="H112">
        <v>21.428571428571399</v>
      </c>
      <c r="I112" t="e">
        <f t="shared" si="4"/>
        <v>#N/A</v>
      </c>
      <c r="J112" t="e">
        <f t="shared" si="5"/>
        <v>#N/A</v>
      </c>
      <c r="K112">
        <f t="shared" si="6"/>
        <v>14</v>
      </c>
      <c r="L112">
        <f t="shared" si="7"/>
        <v>3</v>
      </c>
    </row>
    <row r="113" spans="1:12" x14ac:dyDescent="0.25">
      <c r="A113">
        <v>7.25</v>
      </c>
      <c r="B113">
        <v>1</v>
      </c>
      <c r="C113" t="s">
        <v>8</v>
      </c>
      <c r="D113" t="s">
        <v>9</v>
      </c>
      <c r="E113" t="s">
        <v>13</v>
      </c>
      <c r="F113" t="s">
        <v>11</v>
      </c>
      <c r="G113">
        <v>1</v>
      </c>
      <c r="H113">
        <v>13.793103448275801</v>
      </c>
      <c r="I113">
        <f t="shared" si="4"/>
        <v>7.25</v>
      </c>
      <c r="J113">
        <f t="shared" si="5"/>
        <v>1</v>
      </c>
      <c r="K113" t="e">
        <f t="shared" si="6"/>
        <v>#N/A</v>
      </c>
      <c r="L113" t="e">
        <f t="shared" si="7"/>
        <v>#N/A</v>
      </c>
    </row>
    <row r="114" spans="1:12" x14ac:dyDescent="0.25">
      <c r="A114">
        <v>38.07</v>
      </c>
      <c r="B114">
        <v>4</v>
      </c>
      <c r="C114" t="s">
        <v>12</v>
      </c>
      <c r="D114" t="s">
        <v>9</v>
      </c>
      <c r="E114" t="s">
        <v>10</v>
      </c>
      <c r="F114" t="s">
        <v>11</v>
      </c>
      <c r="G114">
        <v>3</v>
      </c>
      <c r="H114">
        <v>10.5069608615707</v>
      </c>
      <c r="I114" t="e">
        <f t="shared" si="4"/>
        <v>#N/A</v>
      </c>
      <c r="J114" t="e">
        <f t="shared" si="5"/>
        <v>#N/A</v>
      </c>
      <c r="K114">
        <f t="shared" si="6"/>
        <v>38.07</v>
      </c>
      <c r="L114">
        <f t="shared" si="7"/>
        <v>4</v>
      </c>
    </row>
    <row r="115" spans="1:12" x14ac:dyDescent="0.25">
      <c r="A115">
        <v>23.95</v>
      </c>
      <c r="B115">
        <v>2.5499999999999998</v>
      </c>
      <c r="C115" t="s">
        <v>12</v>
      </c>
      <c r="D115" t="s">
        <v>9</v>
      </c>
      <c r="E115" t="s">
        <v>10</v>
      </c>
      <c r="F115" t="s">
        <v>11</v>
      </c>
      <c r="G115">
        <v>2</v>
      </c>
      <c r="H115">
        <v>10.647181628392399</v>
      </c>
      <c r="I115" t="e">
        <f t="shared" si="4"/>
        <v>#N/A</v>
      </c>
      <c r="J115" t="e">
        <f t="shared" si="5"/>
        <v>#N/A</v>
      </c>
      <c r="K115">
        <f t="shared" si="6"/>
        <v>23.95</v>
      </c>
      <c r="L115">
        <f t="shared" si="7"/>
        <v>2.5499999999999998</v>
      </c>
    </row>
    <row r="116" spans="1:12" x14ac:dyDescent="0.25">
      <c r="A116">
        <v>25.71</v>
      </c>
      <c r="B116">
        <v>4</v>
      </c>
      <c r="C116" t="s">
        <v>8</v>
      </c>
      <c r="D116" t="s">
        <v>9</v>
      </c>
      <c r="E116" t="s">
        <v>10</v>
      </c>
      <c r="F116" t="s">
        <v>11</v>
      </c>
      <c r="G116">
        <v>3</v>
      </c>
      <c r="H116">
        <v>15.5581485803189</v>
      </c>
      <c r="I116">
        <f t="shared" si="4"/>
        <v>25.71</v>
      </c>
      <c r="J116">
        <f t="shared" si="5"/>
        <v>4</v>
      </c>
      <c r="K116" t="e">
        <f t="shared" si="6"/>
        <v>#N/A</v>
      </c>
      <c r="L116" t="e">
        <f t="shared" si="7"/>
        <v>#N/A</v>
      </c>
    </row>
    <row r="117" spans="1:12" x14ac:dyDescent="0.25">
      <c r="A117">
        <v>17.309999999999999</v>
      </c>
      <c r="B117">
        <v>3.5</v>
      </c>
      <c r="C117" t="s">
        <v>8</v>
      </c>
      <c r="D117" t="s">
        <v>9</v>
      </c>
      <c r="E117" t="s">
        <v>10</v>
      </c>
      <c r="F117" t="s">
        <v>11</v>
      </c>
      <c r="G117">
        <v>2</v>
      </c>
      <c r="H117">
        <v>20.219526285384099</v>
      </c>
      <c r="I117">
        <f t="shared" si="4"/>
        <v>17.309999999999999</v>
      </c>
      <c r="J117">
        <f t="shared" si="5"/>
        <v>3.5</v>
      </c>
      <c r="K117" t="e">
        <f t="shared" si="6"/>
        <v>#N/A</v>
      </c>
      <c r="L117" t="e">
        <f t="shared" si="7"/>
        <v>#N/A</v>
      </c>
    </row>
    <row r="118" spans="1:12" x14ac:dyDescent="0.25">
      <c r="A118">
        <v>29.93</v>
      </c>
      <c r="B118">
        <v>5.07</v>
      </c>
      <c r="C118" t="s">
        <v>12</v>
      </c>
      <c r="D118" t="s">
        <v>9</v>
      </c>
      <c r="E118" t="s">
        <v>10</v>
      </c>
      <c r="F118" t="s">
        <v>11</v>
      </c>
      <c r="G118">
        <v>4</v>
      </c>
      <c r="H118">
        <v>16.939525559639101</v>
      </c>
      <c r="I118" t="e">
        <f t="shared" si="4"/>
        <v>#N/A</v>
      </c>
      <c r="J118" t="e">
        <f t="shared" si="5"/>
        <v>#N/A</v>
      </c>
      <c r="K118">
        <f t="shared" si="6"/>
        <v>29.93</v>
      </c>
      <c r="L118">
        <f t="shared" si="7"/>
        <v>5.07</v>
      </c>
    </row>
    <row r="119" spans="1:12" x14ac:dyDescent="0.25">
      <c r="A119">
        <v>10.65</v>
      </c>
      <c r="B119">
        <v>1.5</v>
      </c>
      <c r="C119" t="s">
        <v>8</v>
      </c>
      <c r="D119" t="s">
        <v>9</v>
      </c>
      <c r="E119" t="s">
        <v>15</v>
      </c>
      <c r="F119" t="s">
        <v>16</v>
      </c>
      <c r="G119">
        <v>2</v>
      </c>
      <c r="H119">
        <v>14.084507042253501</v>
      </c>
      <c r="I119">
        <f t="shared" si="4"/>
        <v>10.65</v>
      </c>
      <c r="J119">
        <f t="shared" si="5"/>
        <v>1.5</v>
      </c>
      <c r="K119" t="e">
        <f t="shared" si="6"/>
        <v>#N/A</v>
      </c>
      <c r="L119" t="e">
        <f t="shared" si="7"/>
        <v>#N/A</v>
      </c>
    </row>
    <row r="120" spans="1:12" x14ac:dyDescent="0.25">
      <c r="A120">
        <v>12.43</v>
      </c>
      <c r="B120">
        <v>1.8</v>
      </c>
      <c r="C120" t="s">
        <v>8</v>
      </c>
      <c r="D120" t="s">
        <v>9</v>
      </c>
      <c r="E120" t="s">
        <v>15</v>
      </c>
      <c r="F120" t="s">
        <v>16</v>
      </c>
      <c r="G120">
        <v>2</v>
      </c>
      <c r="H120">
        <v>14.481094127111801</v>
      </c>
      <c r="I120">
        <f t="shared" si="4"/>
        <v>12.43</v>
      </c>
      <c r="J120">
        <f t="shared" si="5"/>
        <v>1.8</v>
      </c>
      <c r="K120" t="e">
        <f t="shared" si="6"/>
        <v>#N/A</v>
      </c>
      <c r="L120" t="e">
        <f t="shared" si="7"/>
        <v>#N/A</v>
      </c>
    </row>
    <row r="121" spans="1:12" x14ac:dyDescent="0.25">
      <c r="A121">
        <v>24.08</v>
      </c>
      <c r="B121">
        <v>2.92</v>
      </c>
      <c r="C121" t="s">
        <v>8</v>
      </c>
      <c r="D121" t="s">
        <v>9</v>
      </c>
      <c r="E121" t="s">
        <v>15</v>
      </c>
      <c r="F121" t="s">
        <v>16</v>
      </c>
      <c r="G121">
        <v>4</v>
      </c>
      <c r="H121">
        <v>12.126245847176</v>
      </c>
      <c r="I121">
        <f t="shared" si="4"/>
        <v>24.08</v>
      </c>
      <c r="J121">
        <f t="shared" si="5"/>
        <v>2.92</v>
      </c>
      <c r="K121" t="e">
        <f t="shared" si="6"/>
        <v>#N/A</v>
      </c>
      <c r="L121" t="e">
        <f t="shared" si="7"/>
        <v>#N/A</v>
      </c>
    </row>
    <row r="122" spans="1:12" x14ac:dyDescent="0.25">
      <c r="A122">
        <v>11.69</v>
      </c>
      <c r="B122">
        <v>2.31</v>
      </c>
      <c r="C122" t="s">
        <v>12</v>
      </c>
      <c r="D122" t="s">
        <v>9</v>
      </c>
      <c r="E122" t="s">
        <v>15</v>
      </c>
      <c r="F122" t="s">
        <v>16</v>
      </c>
      <c r="G122">
        <v>2</v>
      </c>
      <c r="H122">
        <v>19.760479041916099</v>
      </c>
      <c r="I122" t="e">
        <f t="shared" si="4"/>
        <v>#N/A</v>
      </c>
      <c r="J122" t="e">
        <f t="shared" si="5"/>
        <v>#N/A</v>
      </c>
      <c r="K122">
        <f t="shared" si="6"/>
        <v>11.69</v>
      </c>
      <c r="L122">
        <f t="shared" si="7"/>
        <v>2.31</v>
      </c>
    </row>
    <row r="123" spans="1:12" x14ac:dyDescent="0.25">
      <c r="A123">
        <v>13.42</v>
      </c>
      <c r="B123">
        <v>1.68</v>
      </c>
      <c r="C123" t="s">
        <v>8</v>
      </c>
      <c r="D123" t="s">
        <v>9</v>
      </c>
      <c r="E123" t="s">
        <v>15</v>
      </c>
      <c r="F123" t="s">
        <v>16</v>
      </c>
      <c r="G123">
        <v>2</v>
      </c>
      <c r="H123">
        <v>12.518628912071501</v>
      </c>
      <c r="I123">
        <f t="shared" si="4"/>
        <v>13.42</v>
      </c>
      <c r="J123">
        <f t="shared" si="5"/>
        <v>1.68</v>
      </c>
      <c r="K123" t="e">
        <f t="shared" si="6"/>
        <v>#N/A</v>
      </c>
      <c r="L123" t="e">
        <f t="shared" si="7"/>
        <v>#N/A</v>
      </c>
    </row>
    <row r="124" spans="1:12" x14ac:dyDescent="0.25">
      <c r="A124">
        <v>14.26</v>
      </c>
      <c r="B124">
        <v>2.5</v>
      </c>
      <c r="C124" t="s">
        <v>12</v>
      </c>
      <c r="D124" t="s">
        <v>9</v>
      </c>
      <c r="E124" t="s">
        <v>15</v>
      </c>
      <c r="F124" t="s">
        <v>16</v>
      </c>
      <c r="G124">
        <v>2</v>
      </c>
      <c r="H124">
        <v>17.531556802244001</v>
      </c>
      <c r="I124" t="e">
        <f t="shared" si="4"/>
        <v>#N/A</v>
      </c>
      <c r="J124" t="e">
        <f t="shared" si="5"/>
        <v>#N/A</v>
      </c>
      <c r="K124">
        <f t="shared" si="6"/>
        <v>14.26</v>
      </c>
      <c r="L124">
        <f t="shared" si="7"/>
        <v>2.5</v>
      </c>
    </row>
    <row r="125" spans="1:12" x14ac:dyDescent="0.25">
      <c r="A125">
        <v>15.95</v>
      </c>
      <c r="B125">
        <v>2</v>
      </c>
      <c r="C125" t="s">
        <v>12</v>
      </c>
      <c r="D125" t="s">
        <v>9</v>
      </c>
      <c r="E125" t="s">
        <v>15</v>
      </c>
      <c r="F125" t="s">
        <v>16</v>
      </c>
      <c r="G125">
        <v>2</v>
      </c>
      <c r="H125">
        <v>12.539184952977999</v>
      </c>
      <c r="I125" t="e">
        <f t="shared" si="4"/>
        <v>#N/A</v>
      </c>
      <c r="J125" t="e">
        <f t="shared" si="5"/>
        <v>#N/A</v>
      </c>
      <c r="K125">
        <f t="shared" si="6"/>
        <v>15.95</v>
      </c>
      <c r="L125">
        <f t="shared" si="7"/>
        <v>2</v>
      </c>
    </row>
    <row r="126" spans="1:12" x14ac:dyDescent="0.25">
      <c r="A126">
        <v>12.48</v>
      </c>
      <c r="B126">
        <v>2.52</v>
      </c>
      <c r="C126" t="s">
        <v>8</v>
      </c>
      <c r="D126" t="s">
        <v>9</v>
      </c>
      <c r="E126" t="s">
        <v>15</v>
      </c>
      <c r="F126" t="s">
        <v>16</v>
      </c>
      <c r="G126">
        <v>2</v>
      </c>
      <c r="H126">
        <v>20.192307692307601</v>
      </c>
      <c r="I126">
        <f t="shared" si="4"/>
        <v>12.48</v>
      </c>
      <c r="J126">
        <f t="shared" si="5"/>
        <v>2.52</v>
      </c>
      <c r="K126" t="e">
        <f t="shared" si="6"/>
        <v>#N/A</v>
      </c>
      <c r="L126" t="e">
        <f t="shared" si="7"/>
        <v>#N/A</v>
      </c>
    </row>
    <row r="127" spans="1:12" x14ac:dyDescent="0.25">
      <c r="A127">
        <v>29.8</v>
      </c>
      <c r="B127">
        <v>4.2</v>
      </c>
      <c r="C127" t="s">
        <v>8</v>
      </c>
      <c r="D127" t="s">
        <v>9</v>
      </c>
      <c r="E127" t="s">
        <v>15</v>
      </c>
      <c r="F127" t="s">
        <v>16</v>
      </c>
      <c r="G127">
        <v>6</v>
      </c>
      <c r="H127">
        <v>14.093959731543601</v>
      </c>
      <c r="I127">
        <f t="shared" si="4"/>
        <v>29.8</v>
      </c>
      <c r="J127">
        <f t="shared" si="5"/>
        <v>4.2</v>
      </c>
      <c r="K127" t="e">
        <f t="shared" si="6"/>
        <v>#N/A</v>
      </c>
      <c r="L127" t="e">
        <f t="shared" si="7"/>
        <v>#N/A</v>
      </c>
    </row>
    <row r="128" spans="1:12" x14ac:dyDescent="0.25">
      <c r="A128">
        <v>8.52</v>
      </c>
      <c r="B128">
        <v>1.48</v>
      </c>
      <c r="C128" t="s">
        <v>12</v>
      </c>
      <c r="D128" t="s">
        <v>9</v>
      </c>
      <c r="E128" t="s">
        <v>15</v>
      </c>
      <c r="F128" t="s">
        <v>16</v>
      </c>
      <c r="G128">
        <v>2</v>
      </c>
      <c r="H128">
        <v>17.370892018779301</v>
      </c>
      <c r="I128" t="e">
        <f t="shared" si="4"/>
        <v>#N/A</v>
      </c>
      <c r="J128" t="e">
        <f t="shared" si="5"/>
        <v>#N/A</v>
      </c>
      <c r="K128">
        <f t="shared" si="6"/>
        <v>8.52</v>
      </c>
      <c r="L128">
        <f t="shared" si="7"/>
        <v>1.48</v>
      </c>
    </row>
    <row r="129" spans="1:12" x14ac:dyDescent="0.25">
      <c r="A129">
        <v>14.52</v>
      </c>
      <c r="B129">
        <v>2</v>
      </c>
      <c r="C129" t="s">
        <v>8</v>
      </c>
      <c r="D129" t="s">
        <v>9</v>
      </c>
      <c r="E129" t="s">
        <v>15</v>
      </c>
      <c r="F129" t="s">
        <v>16</v>
      </c>
      <c r="G129">
        <v>2</v>
      </c>
      <c r="H129">
        <v>13.7741046831955</v>
      </c>
      <c r="I129">
        <f t="shared" si="4"/>
        <v>14.52</v>
      </c>
      <c r="J129">
        <f t="shared" si="5"/>
        <v>2</v>
      </c>
      <c r="K129" t="e">
        <f t="shared" si="6"/>
        <v>#N/A</v>
      </c>
      <c r="L129" t="e">
        <f t="shared" si="7"/>
        <v>#N/A</v>
      </c>
    </row>
    <row r="130" spans="1:12" x14ac:dyDescent="0.25">
      <c r="A130">
        <v>11.38</v>
      </c>
      <c r="B130">
        <v>2</v>
      </c>
      <c r="C130" t="s">
        <v>8</v>
      </c>
      <c r="D130" t="s">
        <v>9</v>
      </c>
      <c r="E130" t="s">
        <v>15</v>
      </c>
      <c r="F130" t="s">
        <v>16</v>
      </c>
      <c r="G130">
        <v>2</v>
      </c>
      <c r="H130">
        <v>17.574692442882199</v>
      </c>
      <c r="I130">
        <f t="shared" si="4"/>
        <v>11.38</v>
      </c>
      <c r="J130">
        <f t="shared" si="5"/>
        <v>2</v>
      </c>
      <c r="K130" t="e">
        <f t="shared" si="6"/>
        <v>#N/A</v>
      </c>
      <c r="L130" t="e">
        <f t="shared" si="7"/>
        <v>#N/A</v>
      </c>
    </row>
    <row r="131" spans="1:12" x14ac:dyDescent="0.25">
      <c r="A131">
        <v>22.82</v>
      </c>
      <c r="B131">
        <v>2.1800000000000002</v>
      </c>
      <c r="C131" t="s">
        <v>12</v>
      </c>
      <c r="D131" t="s">
        <v>9</v>
      </c>
      <c r="E131" t="s">
        <v>15</v>
      </c>
      <c r="F131" t="s">
        <v>16</v>
      </c>
      <c r="G131">
        <v>3</v>
      </c>
      <c r="H131">
        <v>9.5530236634531107</v>
      </c>
      <c r="I131" t="e">
        <f t="shared" ref="I131:I194" si="8">IF($C131="Female",$A131,NA())</f>
        <v>#N/A</v>
      </c>
      <c r="J131" t="e">
        <f t="shared" ref="J131:J194" si="9">IF($C131="Female",$B131,NA())</f>
        <v>#N/A</v>
      </c>
      <c r="K131">
        <f t="shared" ref="K131:K194" si="10">IF($C131="Male",$A131,NA())</f>
        <v>22.82</v>
      </c>
      <c r="L131">
        <f t="shared" ref="L131:L194" si="11">IF($C131="Male",$B131,NA())</f>
        <v>2.1800000000000002</v>
      </c>
    </row>
    <row r="132" spans="1:12" x14ac:dyDescent="0.25">
      <c r="A132">
        <v>19.079999999999998</v>
      </c>
      <c r="B132">
        <v>1.5</v>
      </c>
      <c r="C132" t="s">
        <v>12</v>
      </c>
      <c r="D132" t="s">
        <v>9</v>
      </c>
      <c r="E132" t="s">
        <v>15</v>
      </c>
      <c r="F132" t="s">
        <v>16</v>
      </c>
      <c r="G132">
        <v>2</v>
      </c>
      <c r="H132">
        <v>7.8616352201257804</v>
      </c>
      <c r="I132" t="e">
        <f t="shared" si="8"/>
        <v>#N/A</v>
      </c>
      <c r="J132" t="e">
        <f t="shared" si="9"/>
        <v>#N/A</v>
      </c>
      <c r="K132">
        <f t="shared" si="10"/>
        <v>19.079999999999998</v>
      </c>
      <c r="L132">
        <f t="shared" si="11"/>
        <v>1.5</v>
      </c>
    </row>
    <row r="133" spans="1:12" x14ac:dyDescent="0.25">
      <c r="A133">
        <v>20.27</v>
      </c>
      <c r="B133">
        <v>2.83</v>
      </c>
      <c r="C133" t="s">
        <v>8</v>
      </c>
      <c r="D133" t="s">
        <v>9</v>
      </c>
      <c r="E133" t="s">
        <v>15</v>
      </c>
      <c r="F133" t="s">
        <v>16</v>
      </c>
      <c r="G133">
        <v>2</v>
      </c>
      <c r="H133">
        <v>13.961519486926401</v>
      </c>
      <c r="I133">
        <f t="shared" si="8"/>
        <v>20.27</v>
      </c>
      <c r="J133">
        <f t="shared" si="9"/>
        <v>2.83</v>
      </c>
      <c r="K133" t="e">
        <f t="shared" si="10"/>
        <v>#N/A</v>
      </c>
      <c r="L133" t="e">
        <f t="shared" si="11"/>
        <v>#N/A</v>
      </c>
    </row>
    <row r="134" spans="1:12" x14ac:dyDescent="0.25">
      <c r="A134">
        <v>11.17</v>
      </c>
      <c r="B134">
        <v>1.5</v>
      </c>
      <c r="C134" t="s">
        <v>8</v>
      </c>
      <c r="D134" t="s">
        <v>9</v>
      </c>
      <c r="E134" t="s">
        <v>15</v>
      </c>
      <c r="F134" t="s">
        <v>16</v>
      </c>
      <c r="G134">
        <v>2</v>
      </c>
      <c r="H134">
        <v>13.428827215756399</v>
      </c>
      <c r="I134">
        <f t="shared" si="8"/>
        <v>11.17</v>
      </c>
      <c r="J134">
        <f t="shared" si="9"/>
        <v>1.5</v>
      </c>
      <c r="K134" t="e">
        <f t="shared" si="10"/>
        <v>#N/A</v>
      </c>
      <c r="L134" t="e">
        <f t="shared" si="11"/>
        <v>#N/A</v>
      </c>
    </row>
    <row r="135" spans="1:12" x14ac:dyDescent="0.25">
      <c r="A135">
        <v>12.26</v>
      </c>
      <c r="B135">
        <v>2</v>
      </c>
      <c r="C135" t="s">
        <v>8</v>
      </c>
      <c r="D135" t="s">
        <v>9</v>
      </c>
      <c r="E135" t="s">
        <v>15</v>
      </c>
      <c r="F135" t="s">
        <v>16</v>
      </c>
      <c r="G135">
        <v>2</v>
      </c>
      <c r="H135">
        <v>16.3132137030995</v>
      </c>
      <c r="I135">
        <f t="shared" si="8"/>
        <v>12.26</v>
      </c>
      <c r="J135">
        <f t="shared" si="9"/>
        <v>2</v>
      </c>
      <c r="K135" t="e">
        <f t="shared" si="10"/>
        <v>#N/A</v>
      </c>
      <c r="L135" t="e">
        <f t="shared" si="11"/>
        <v>#N/A</v>
      </c>
    </row>
    <row r="136" spans="1:12" x14ac:dyDescent="0.25">
      <c r="A136">
        <v>18.260000000000002</v>
      </c>
      <c r="B136">
        <v>3.25</v>
      </c>
      <c r="C136" t="s">
        <v>8</v>
      </c>
      <c r="D136" t="s">
        <v>9</v>
      </c>
      <c r="E136" t="s">
        <v>15</v>
      </c>
      <c r="F136" t="s">
        <v>16</v>
      </c>
      <c r="G136">
        <v>2</v>
      </c>
      <c r="H136">
        <v>17.798466593647301</v>
      </c>
      <c r="I136">
        <f t="shared" si="8"/>
        <v>18.260000000000002</v>
      </c>
      <c r="J136">
        <f t="shared" si="9"/>
        <v>3.25</v>
      </c>
      <c r="K136" t="e">
        <f t="shared" si="10"/>
        <v>#N/A</v>
      </c>
      <c r="L136" t="e">
        <f t="shared" si="11"/>
        <v>#N/A</v>
      </c>
    </row>
    <row r="137" spans="1:12" x14ac:dyDescent="0.25">
      <c r="A137">
        <v>8.51</v>
      </c>
      <c r="B137">
        <v>1.25</v>
      </c>
      <c r="C137" t="s">
        <v>8</v>
      </c>
      <c r="D137" t="s">
        <v>9</v>
      </c>
      <c r="E137" t="s">
        <v>15</v>
      </c>
      <c r="F137" t="s">
        <v>16</v>
      </c>
      <c r="G137">
        <v>2</v>
      </c>
      <c r="H137">
        <v>14.688601645123301</v>
      </c>
      <c r="I137">
        <f t="shared" si="8"/>
        <v>8.51</v>
      </c>
      <c r="J137">
        <f t="shared" si="9"/>
        <v>1.25</v>
      </c>
      <c r="K137" t="e">
        <f t="shared" si="10"/>
        <v>#N/A</v>
      </c>
      <c r="L137" t="e">
        <f t="shared" si="11"/>
        <v>#N/A</v>
      </c>
    </row>
    <row r="138" spans="1:12" x14ac:dyDescent="0.25">
      <c r="A138">
        <v>10.33</v>
      </c>
      <c r="B138">
        <v>2</v>
      </c>
      <c r="C138" t="s">
        <v>8</v>
      </c>
      <c r="D138" t="s">
        <v>9</v>
      </c>
      <c r="E138" t="s">
        <v>15</v>
      </c>
      <c r="F138" t="s">
        <v>16</v>
      </c>
      <c r="G138">
        <v>2</v>
      </c>
      <c r="H138">
        <v>19.3610842207163</v>
      </c>
      <c r="I138">
        <f t="shared" si="8"/>
        <v>10.33</v>
      </c>
      <c r="J138">
        <f t="shared" si="9"/>
        <v>2</v>
      </c>
      <c r="K138" t="e">
        <f t="shared" si="10"/>
        <v>#N/A</v>
      </c>
      <c r="L138" t="e">
        <f t="shared" si="11"/>
        <v>#N/A</v>
      </c>
    </row>
    <row r="139" spans="1:12" x14ac:dyDescent="0.25">
      <c r="A139">
        <v>14.15</v>
      </c>
      <c r="B139">
        <v>2</v>
      </c>
      <c r="C139" t="s">
        <v>8</v>
      </c>
      <c r="D139" t="s">
        <v>9</v>
      </c>
      <c r="E139" t="s">
        <v>15</v>
      </c>
      <c r="F139" t="s">
        <v>16</v>
      </c>
      <c r="G139">
        <v>2</v>
      </c>
      <c r="H139">
        <v>14.134275618374501</v>
      </c>
      <c r="I139">
        <f t="shared" si="8"/>
        <v>14.15</v>
      </c>
      <c r="J139">
        <f t="shared" si="9"/>
        <v>2</v>
      </c>
      <c r="K139" t="e">
        <f t="shared" si="10"/>
        <v>#N/A</v>
      </c>
      <c r="L139" t="e">
        <f t="shared" si="11"/>
        <v>#N/A</v>
      </c>
    </row>
    <row r="140" spans="1:12" x14ac:dyDescent="0.25">
      <c r="A140">
        <v>16</v>
      </c>
      <c r="B140">
        <v>2</v>
      </c>
      <c r="C140" t="s">
        <v>12</v>
      </c>
      <c r="D140" t="s">
        <v>14</v>
      </c>
      <c r="E140" t="s">
        <v>15</v>
      </c>
      <c r="F140" t="s">
        <v>16</v>
      </c>
      <c r="G140">
        <v>2</v>
      </c>
      <c r="H140">
        <v>12.5</v>
      </c>
      <c r="I140" t="e">
        <f t="shared" si="8"/>
        <v>#N/A</v>
      </c>
      <c r="J140" t="e">
        <f t="shared" si="9"/>
        <v>#N/A</v>
      </c>
      <c r="K140">
        <f t="shared" si="10"/>
        <v>16</v>
      </c>
      <c r="L140">
        <f t="shared" si="11"/>
        <v>2</v>
      </c>
    </row>
    <row r="141" spans="1:12" x14ac:dyDescent="0.25">
      <c r="A141">
        <v>13.16</v>
      </c>
      <c r="B141">
        <v>2.75</v>
      </c>
      <c r="C141" t="s">
        <v>8</v>
      </c>
      <c r="D141" t="s">
        <v>9</v>
      </c>
      <c r="E141" t="s">
        <v>15</v>
      </c>
      <c r="F141" t="s">
        <v>16</v>
      </c>
      <c r="G141">
        <v>2</v>
      </c>
      <c r="H141">
        <v>20.896656534954399</v>
      </c>
      <c r="I141">
        <f t="shared" si="8"/>
        <v>13.16</v>
      </c>
      <c r="J141">
        <f t="shared" si="9"/>
        <v>2.75</v>
      </c>
      <c r="K141" t="e">
        <f t="shared" si="10"/>
        <v>#N/A</v>
      </c>
      <c r="L141" t="e">
        <f t="shared" si="11"/>
        <v>#N/A</v>
      </c>
    </row>
    <row r="142" spans="1:12" x14ac:dyDescent="0.25">
      <c r="A142">
        <v>17.47</v>
      </c>
      <c r="B142">
        <v>3.5</v>
      </c>
      <c r="C142" t="s">
        <v>8</v>
      </c>
      <c r="D142" t="s">
        <v>9</v>
      </c>
      <c r="E142" t="s">
        <v>15</v>
      </c>
      <c r="F142" t="s">
        <v>16</v>
      </c>
      <c r="G142">
        <v>2</v>
      </c>
      <c r="H142">
        <v>20.034344590726899</v>
      </c>
      <c r="I142">
        <f t="shared" si="8"/>
        <v>17.47</v>
      </c>
      <c r="J142">
        <f t="shared" si="9"/>
        <v>3.5</v>
      </c>
      <c r="K142" t="e">
        <f t="shared" si="10"/>
        <v>#N/A</v>
      </c>
      <c r="L142" t="e">
        <f t="shared" si="11"/>
        <v>#N/A</v>
      </c>
    </row>
    <row r="143" spans="1:12" x14ac:dyDescent="0.25">
      <c r="A143">
        <v>34.299999999999997</v>
      </c>
      <c r="B143">
        <v>6.7</v>
      </c>
      <c r="C143" t="s">
        <v>12</v>
      </c>
      <c r="D143" t="s">
        <v>9</v>
      </c>
      <c r="E143" t="s">
        <v>15</v>
      </c>
      <c r="F143" t="s">
        <v>16</v>
      </c>
      <c r="G143">
        <v>6</v>
      </c>
      <c r="H143">
        <v>19.533527696793001</v>
      </c>
      <c r="I143" t="e">
        <f t="shared" si="8"/>
        <v>#N/A</v>
      </c>
      <c r="J143" t="e">
        <f t="shared" si="9"/>
        <v>#N/A</v>
      </c>
      <c r="K143">
        <f t="shared" si="10"/>
        <v>34.299999999999997</v>
      </c>
      <c r="L143">
        <f t="shared" si="11"/>
        <v>6.7</v>
      </c>
    </row>
    <row r="144" spans="1:12" x14ac:dyDescent="0.25">
      <c r="A144">
        <v>41.19</v>
      </c>
      <c r="B144">
        <v>5</v>
      </c>
      <c r="C144" t="s">
        <v>12</v>
      </c>
      <c r="D144" t="s">
        <v>9</v>
      </c>
      <c r="E144" t="s">
        <v>15</v>
      </c>
      <c r="F144" t="s">
        <v>16</v>
      </c>
      <c r="G144">
        <v>5</v>
      </c>
      <c r="H144">
        <v>12.138868657441099</v>
      </c>
      <c r="I144" t="e">
        <f t="shared" si="8"/>
        <v>#N/A</v>
      </c>
      <c r="J144" t="e">
        <f t="shared" si="9"/>
        <v>#N/A</v>
      </c>
      <c r="K144">
        <f t="shared" si="10"/>
        <v>41.19</v>
      </c>
      <c r="L144">
        <f t="shared" si="11"/>
        <v>5</v>
      </c>
    </row>
    <row r="145" spans="1:12" x14ac:dyDescent="0.25">
      <c r="A145">
        <v>27.05</v>
      </c>
      <c r="B145">
        <v>5</v>
      </c>
      <c r="C145" t="s">
        <v>8</v>
      </c>
      <c r="D145" t="s">
        <v>9</v>
      </c>
      <c r="E145" t="s">
        <v>15</v>
      </c>
      <c r="F145" t="s">
        <v>16</v>
      </c>
      <c r="G145">
        <v>6</v>
      </c>
      <c r="H145">
        <v>18.4842883548983</v>
      </c>
      <c r="I145">
        <f t="shared" si="8"/>
        <v>27.05</v>
      </c>
      <c r="J145">
        <f t="shared" si="9"/>
        <v>5</v>
      </c>
      <c r="K145" t="e">
        <f t="shared" si="10"/>
        <v>#N/A</v>
      </c>
      <c r="L145" t="e">
        <f t="shared" si="11"/>
        <v>#N/A</v>
      </c>
    </row>
    <row r="146" spans="1:12" x14ac:dyDescent="0.25">
      <c r="A146">
        <v>16.43</v>
      </c>
      <c r="B146">
        <v>2.2999999999999998</v>
      </c>
      <c r="C146" t="s">
        <v>8</v>
      </c>
      <c r="D146" t="s">
        <v>9</v>
      </c>
      <c r="E146" t="s">
        <v>15</v>
      </c>
      <c r="F146" t="s">
        <v>16</v>
      </c>
      <c r="G146">
        <v>2</v>
      </c>
      <c r="H146">
        <v>13.9987827145465</v>
      </c>
      <c r="I146">
        <f t="shared" si="8"/>
        <v>16.43</v>
      </c>
      <c r="J146">
        <f t="shared" si="9"/>
        <v>2.2999999999999998</v>
      </c>
      <c r="K146" t="e">
        <f t="shared" si="10"/>
        <v>#N/A</v>
      </c>
      <c r="L146" t="e">
        <f t="shared" si="11"/>
        <v>#N/A</v>
      </c>
    </row>
    <row r="147" spans="1:12" x14ac:dyDescent="0.25">
      <c r="A147">
        <v>8.35</v>
      </c>
      <c r="B147">
        <v>1.5</v>
      </c>
      <c r="C147" t="s">
        <v>8</v>
      </c>
      <c r="D147" t="s">
        <v>9</v>
      </c>
      <c r="E147" t="s">
        <v>15</v>
      </c>
      <c r="F147" t="s">
        <v>16</v>
      </c>
      <c r="G147">
        <v>2</v>
      </c>
      <c r="H147">
        <v>17.964071856287401</v>
      </c>
      <c r="I147">
        <f t="shared" si="8"/>
        <v>8.35</v>
      </c>
      <c r="J147">
        <f t="shared" si="9"/>
        <v>1.5</v>
      </c>
      <c r="K147" t="e">
        <f t="shared" si="10"/>
        <v>#N/A</v>
      </c>
      <c r="L147" t="e">
        <f t="shared" si="11"/>
        <v>#N/A</v>
      </c>
    </row>
    <row r="148" spans="1:12" x14ac:dyDescent="0.25">
      <c r="A148">
        <v>18.64</v>
      </c>
      <c r="B148">
        <v>1.36</v>
      </c>
      <c r="C148" t="s">
        <v>8</v>
      </c>
      <c r="D148" t="s">
        <v>9</v>
      </c>
      <c r="E148" t="s">
        <v>15</v>
      </c>
      <c r="F148" t="s">
        <v>16</v>
      </c>
      <c r="G148">
        <v>3</v>
      </c>
      <c r="H148">
        <v>7.2961373390557904</v>
      </c>
      <c r="I148">
        <f t="shared" si="8"/>
        <v>18.64</v>
      </c>
      <c r="J148">
        <f t="shared" si="9"/>
        <v>1.36</v>
      </c>
      <c r="K148" t="e">
        <f t="shared" si="10"/>
        <v>#N/A</v>
      </c>
      <c r="L148" t="e">
        <f t="shared" si="11"/>
        <v>#N/A</v>
      </c>
    </row>
    <row r="149" spans="1:12" x14ac:dyDescent="0.25">
      <c r="A149">
        <v>11.87</v>
      </c>
      <c r="B149">
        <v>1.63</v>
      </c>
      <c r="C149" t="s">
        <v>8</v>
      </c>
      <c r="D149" t="s">
        <v>9</v>
      </c>
      <c r="E149" t="s">
        <v>15</v>
      </c>
      <c r="F149" t="s">
        <v>16</v>
      </c>
      <c r="G149">
        <v>2</v>
      </c>
      <c r="H149">
        <v>13.732097725358001</v>
      </c>
      <c r="I149">
        <f t="shared" si="8"/>
        <v>11.87</v>
      </c>
      <c r="J149">
        <f t="shared" si="9"/>
        <v>1.63</v>
      </c>
      <c r="K149" t="e">
        <f t="shared" si="10"/>
        <v>#N/A</v>
      </c>
      <c r="L149" t="e">
        <f t="shared" si="11"/>
        <v>#N/A</v>
      </c>
    </row>
    <row r="150" spans="1:12" x14ac:dyDescent="0.25">
      <c r="A150">
        <v>9.7799999999999994</v>
      </c>
      <c r="B150">
        <v>1.73</v>
      </c>
      <c r="C150" t="s">
        <v>12</v>
      </c>
      <c r="D150" t="s">
        <v>9</v>
      </c>
      <c r="E150" t="s">
        <v>15</v>
      </c>
      <c r="F150" t="s">
        <v>16</v>
      </c>
      <c r="G150">
        <v>2</v>
      </c>
      <c r="H150">
        <v>17.6891615541922</v>
      </c>
      <c r="I150" t="e">
        <f t="shared" si="8"/>
        <v>#N/A</v>
      </c>
      <c r="J150" t="e">
        <f t="shared" si="9"/>
        <v>#N/A</v>
      </c>
      <c r="K150">
        <f t="shared" si="10"/>
        <v>9.7799999999999994</v>
      </c>
      <c r="L150">
        <f t="shared" si="11"/>
        <v>1.73</v>
      </c>
    </row>
    <row r="151" spans="1:12" x14ac:dyDescent="0.25">
      <c r="A151">
        <v>7.51</v>
      </c>
      <c r="B151">
        <v>2</v>
      </c>
      <c r="C151" t="s">
        <v>12</v>
      </c>
      <c r="D151" t="s">
        <v>9</v>
      </c>
      <c r="E151" t="s">
        <v>15</v>
      </c>
      <c r="F151" t="s">
        <v>16</v>
      </c>
      <c r="G151">
        <v>2</v>
      </c>
      <c r="H151">
        <v>26.6311584553928</v>
      </c>
      <c r="I151" t="e">
        <f t="shared" si="8"/>
        <v>#N/A</v>
      </c>
      <c r="J151" t="e">
        <f t="shared" si="9"/>
        <v>#N/A</v>
      </c>
      <c r="K151">
        <f t="shared" si="10"/>
        <v>7.51</v>
      </c>
      <c r="L151">
        <f t="shared" si="11"/>
        <v>2</v>
      </c>
    </row>
    <row r="152" spans="1:12" x14ac:dyDescent="0.25">
      <c r="A152">
        <v>14.07</v>
      </c>
      <c r="B152">
        <v>2.5</v>
      </c>
      <c r="C152" t="s">
        <v>12</v>
      </c>
      <c r="D152" t="s">
        <v>9</v>
      </c>
      <c r="E152" t="s">
        <v>10</v>
      </c>
      <c r="F152" t="s">
        <v>11</v>
      </c>
      <c r="G152">
        <v>2</v>
      </c>
      <c r="H152">
        <v>17.7683013503909</v>
      </c>
      <c r="I152" t="e">
        <f t="shared" si="8"/>
        <v>#N/A</v>
      </c>
      <c r="J152" t="e">
        <f t="shared" si="9"/>
        <v>#N/A</v>
      </c>
      <c r="K152">
        <f t="shared" si="10"/>
        <v>14.07</v>
      </c>
      <c r="L152">
        <f t="shared" si="11"/>
        <v>2.5</v>
      </c>
    </row>
    <row r="153" spans="1:12" x14ac:dyDescent="0.25">
      <c r="A153">
        <v>13.13</v>
      </c>
      <c r="B153">
        <v>2</v>
      </c>
      <c r="C153" t="s">
        <v>12</v>
      </c>
      <c r="D153" t="s">
        <v>9</v>
      </c>
      <c r="E153" t="s">
        <v>10</v>
      </c>
      <c r="F153" t="s">
        <v>11</v>
      </c>
      <c r="G153">
        <v>2</v>
      </c>
      <c r="H153">
        <v>15.2322924600152</v>
      </c>
      <c r="I153" t="e">
        <f t="shared" si="8"/>
        <v>#N/A</v>
      </c>
      <c r="J153" t="e">
        <f t="shared" si="9"/>
        <v>#N/A</v>
      </c>
      <c r="K153">
        <f t="shared" si="10"/>
        <v>13.13</v>
      </c>
      <c r="L153">
        <f t="shared" si="11"/>
        <v>2</v>
      </c>
    </row>
    <row r="154" spans="1:12" x14ac:dyDescent="0.25">
      <c r="A154">
        <v>17.260000000000002</v>
      </c>
      <c r="B154">
        <v>2.74</v>
      </c>
      <c r="C154" t="s">
        <v>12</v>
      </c>
      <c r="D154" t="s">
        <v>9</v>
      </c>
      <c r="E154" t="s">
        <v>10</v>
      </c>
      <c r="F154" t="s">
        <v>11</v>
      </c>
      <c r="G154">
        <v>3</v>
      </c>
      <c r="H154">
        <v>15.874855156431</v>
      </c>
      <c r="I154" t="e">
        <f t="shared" si="8"/>
        <v>#N/A</v>
      </c>
      <c r="J154" t="e">
        <f t="shared" si="9"/>
        <v>#N/A</v>
      </c>
      <c r="K154">
        <f t="shared" si="10"/>
        <v>17.260000000000002</v>
      </c>
      <c r="L154">
        <f t="shared" si="11"/>
        <v>2.74</v>
      </c>
    </row>
    <row r="155" spans="1:12" x14ac:dyDescent="0.25">
      <c r="A155">
        <v>24.55</v>
      </c>
      <c r="B155">
        <v>2</v>
      </c>
      <c r="C155" t="s">
        <v>12</v>
      </c>
      <c r="D155" t="s">
        <v>9</v>
      </c>
      <c r="E155" t="s">
        <v>10</v>
      </c>
      <c r="F155" t="s">
        <v>11</v>
      </c>
      <c r="G155">
        <v>4</v>
      </c>
      <c r="H155">
        <v>8.1466395112016201</v>
      </c>
      <c r="I155" t="e">
        <f t="shared" si="8"/>
        <v>#N/A</v>
      </c>
      <c r="J155" t="e">
        <f t="shared" si="9"/>
        <v>#N/A</v>
      </c>
      <c r="K155">
        <f t="shared" si="10"/>
        <v>24.55</v>
      </c>
      <c r="L155">
        <f t="shared" si="11"/>
        <v>2</v>
      </c>
    </row>
    <row r="156" spans="1:12" x14ac:dyDescent="0.25">
      <c r="A156">
        <v>19.77</v>
      </c>
      <c r="B156">
        <v>2</v>
      </c>
      <c r="C156" t="s">
        <v>12</v>
      </c>
      <c r="D156" t="s">
        <v>9</v>
      </c>
      <c r="E156" t="s">
        <v>10</v>
      </c>
      <c r="F156" t="s">
        <v>11</v>
      </c>
      <c r="G156">
        <v>4</v>
      </c>
      <c r="H156">
        <v>10.116337885685301</v>
      </c>
      <c r="I156" t="e">
        <f t="shared" si="8"/>
        <v>#N/A</v>
      </c>
      <c r="J156" t="e">
        <f t="shared" si="9"/>
        <v>#N/A</v>
      </c>
      <c r="K156">
        <f t="shared" si="10"/>
        <v>19.77</v>
      </c>
      <c r="L156">
        <f t="shared" si="11"/>
        <v>2</v>
      </c>
    </row>
    <row r="157" spans="1:12" x14ac:dyDescent="0.25">
      <c r="A157">
        <v>29.85</v>
      </c>
      <c r="B157">
        <v>5.14</v>
      </c>
      <c r="C157" t="s">
        <v>8</v>
      </c>
      <c r="D157" t="s">
        <v>9</v>
      </c>
      <c r="E157" t="s">
        <v>10</v>
      </c>
      <c r="F157" t="s">
        <v>11</v>
      </c>
      <c r="G157">
        <v>5</v>
      </c>
      <c r="H157">
        <v>17.2194304857621</v>
      </c>
      <c r="I157">
        <f t="shared" si="8"/>
        <v>29.85</v>
      </c>
      <c r="J157">
        <f t="shared" si="9"/>
        <v>5.14</v>
      </c>
      <c r="K157" t="e">
        <f t="shared" si="10"/>
        <v>#N/A</v>
      </c>
      <c r="L157" t="e">
        <f t="shared" si="11"/>
        <v>#N/A</v>
      </c>
    </row>
    <row r="158" spans="1:12" x14ac:dyDescent="0.25">
      <c r="A158">
        <v>48.17</v>
      </c>
      <c r="B158">
        <v>5</v>
      </c>
      <c r="C158" t="s">
        <v>12</v>
      </c>
      <c r="D158" t="s">
        <v>9</v>
      </c>
      <c r="E158" t="s">
        <v>10</v>
      </c>
      <c r="F158" t="s">
        <v>11</v>
      </c>
      <c r="G158">
        <v>6</v>
      </c>
      <c r="H158">
        <v>10.3799045048785</v>
      </c>
      <c r="I158" t="e">
        <f t="shared" si="8"/>
        <v>#N/A</v>
      </c>
      <c r="J158" t="e">
        <f t="shared" si="9"/>
        <v>#N/A</v>
      </c>
      <c r="K158">
        <f t="shared" si="10"/>
        <v>48.17</v>
      </c>
      <c r="L158">
        <f t="shared" si="11"/>
        <v>5</v>
      </c>
    </row>
    <row r="159" spans="1:12" x14ac:dyDescent="0.25">
      <c r="A159">
        <v>25</v>
      </c>
      <c r="B159">
        <v>3.75</v>
      </c>
      <c r="C159" t="s">
        <v>8</v>
      </c>
      <c r="D159" t="s">
        <v>9</v>
      </c>
      <c r="E159" t="s">
        <v>10</v>
      </c>
      <c r="F159" t="s">
        <v>11</v>
      </c>
      <c r="G159">
        <v>4</v>
      </c>
      <c r="H159">
        <v>15</v>
      </c>
      <c r="I159">
        <f t="shared" si="8"/>
        <v>25</v>
      </c>
      <c r="J159">
        <f t="shared" si="9"/>
        <v>3.75</v>
      </c>
      <c r="K159" t="e">
        <f t="shared" si="10"/>
        <v>#N/A</v>
      </c>
      <c r="L159" t="e">
        <f t="shared" si="11"/>
        <v>#N/A</v>
      </c>
    </row>
    <row r="160" spans="1:12" x14ac:dyDescent="0.25">
      <c r="A160">
        <v>13.39</v>
      </c>
      <c r="B160">
        <v>2.61</v>
      </c>
      <c r="C160" t="s">
        <v>8</v>
      </c>
      <c r="D160" t="s">
        <v>9</v>
      </c>
      <c r="E160" t="s">
        <v>10</v>
      </c>
      <c r="F160" t="s">
        <v>11</v>
      </c>
      <c r="G160">
        <v>2</v>
      </c>
      <c r="H160">
        <v>19.492158327109699</v>
      </c>
      <c r="I160">
        <f t="shared" si="8"/>
        <v>13.39</v>
      </c>
      <c r="J160">
        <f t="shared" si="9"/>
        <v>2.61</v>
      </c>
      <c r="K160" t="e">
        <f t="shared" si="10"/>
        <v>#N/A</v>
      </c>
      <c r="L160" t="e">
        <f t="shared" si="11"/>
        <v>#N/A</v>
      </c>
    </row>
    <row r="161" spans="1:12" x14ac:dyDescent="0.25">
      <c r="A161">
        <v>16.489999999999998</v>
      </c>
      <c r="B161">
        <v>2</v>
      </c>
      <c r="C161" t="s">
        <v>12</v>
      </c>
      <c r="D161" t="s">
        <v>9</v>
      </c>
      <c r="E161" t="s">
        <v>10</v>
      </c>
      <c r="F161" t="s">
        <v>11</v>
      </c>
      <c r="G161">
        <v>4</v>
      </c>
      <c r="H161">
        <v>12.128562765312299</v>
      </c>
      <c r="I161" t="e">
        <f t="shared" si="8"/>
        <v>#N/A</v>
      </c>
      <c r="J161" t="e">
        <f t="shared" si="9"/>
        <v>#N/A</v>
      </c>
      <c r="K161">
        <f t="shared" si="10"/>
        <v>16.489999999999998</v>
      </c>
      <c r="L161">
        <f t="shared" si="11"/>
        <v>2</v>
      </c>
    </row>
    <row r="162" spans="1:12" x14ac:dyDescent="0.25">
      <c r="A162">
        <v>21.5</v>
      </c>
      <c r="B162">
        <v>3.5</v>
      </c>
      <c r="C162" t="s">
        <v>12</v>
      </c>
      <c r="D162" t="s">
        <v>9</v>
      </c>
      <c r="E162" t="s">
        <v>10</v>
      </c>
      <c r="F162" t="s">
        <v>11</v>
      </c>
      <c r="G162">
        <v>4</v>
      </c>
      <c r="H162">
        <v>16.279069767441801</v>
      </c>
      <c r="I162" t="e">
        <f t="shared" si="8"/>
        <v>#N/A</v>
      </c>
      <c r="J162" t="e">
        <f t="shared" si="9"/>
        <v>#N/A</v>
      </c>
      <c r="K162">
        <f t="shared" si="10"/>
        <v>21.5</v>
      </c>
      <c r="L162">
        <f t="shared" si="11"/>
        <v>3.5</v>
      </c>
    </row>
    <row r="163" spans="1:12" x14ac:dyDescent="0.25">
      <c r="A163">
        <v>12.66</v>
      </c>
      <c r="B163">
        <v>2.5</v>
      </c>
      <c r="C163" t="s">
        <v>12</v>
      </c>
      <c r="D163" t="s">
        <v>9</v>
      </c>
      <c r="E163" t="s">
        <v>10</v>
      </c>
      <c r="F163" t="s">
        <v>11</v>
      </c>
      <c r="G163">
        <v>2</v>
      </c>
      <c r="H163">
        <v>19.747235387045802</v>
      </c>
      <c r="I163" t="e">
        <f t="shared" si="8"/>
        <v>#N/A</v>
      </c>
      <c r="J163" t="e">
        <f t="shared" si="9"/>
        <v>#N/A</v>
      </c>
      <c r="K163">
        <f t="shared" si="10"/>
        <v>12.66</v>
      </c>
      <c r="L163">
        <f t="shared" si="11"/>
        <v>2.5</v>
      </c>
    </row>
    <row r="164" spans="1:12" x14ac:dyDescent="0.25">
      <c r="A164">
        <v>16.21</v>
      </c>
      <c r="B164">
        <v>2</v>
      </c>
      <c r="C164" t="s">
        <v>8</v>
      </c>
      <c r="D164" t="s">
        <v>9</v>
      </c>
      <c r="E164" t="s">
        <v>10</v>
      </c>
      <c r="F164" t="s">
        <v>11</v>
      </c>
      <c r="G164">
        <v>3</v>
      </c>
      <c r="H164">
        <v>12.3380629241209</v>
      </c>
      <c r="I164">
        <f t="shared" si="8"/>
        <v>16.21</v>
      </c>
      <c r="J164">
        <f t="shared" si="9"/>
        <v>2</v>
      </c>
      <c r="K164" t="e">
        <f t="shared" si="10"/>
        <v>#N/A</v>
      </c>
      <c r="L164" t="e">
        <f t="shared" si="11"/>
        <v>#N/A</v>
      </c>
    </row>
    <row r="165" spans="1:12" x14ac:dyDescent="0.25">
      <c r="A165">
        <v>13.81</v>
      </c>
      <c r="B165">
        <v>2</v>
      </c>
      <c r="C165" t="s">
        <v>12</v>
      </c>
      <c r="D165" t="s">
        <v>9</v>
      </c>
      <c r="E165" t="s">
        <v>10</v>
      </c>
      <c r="F165" t="s">
        <v>11</v>
      </c>
      <c r="G165">
        <v>2</v>
      </c>
      <c r="H165">
        <v>14.4822592324402</v>
      </c>
      <c r="I165" t="e">
        <f t="shared" si="8"/>
        <v>#N/A</v>
      </c>
      <c r="J165" t="e">
        <f t="shared" si="9"/>
        <v>#N/A</v>
      </c>
      <c r="K165">
        <f t="shared" si="10"/>
        <v>13.81</v>
      </c>
      <c r="L165">
        <f t="shared" si="11"/>
        <v>2</v>
      </c>
    </row>
    <row r="166" spans="1:12" x14ac:dyDescent="0.25">
      <c r="A166">
        <v>17.510000000000002</v>
      </c>
      <c r="B166">
        <v>3</v>
      </c>
      <c r="C166" t="s">
        <v>8</v>
      </c>
      <c r="D166" t="s">
        <v>14</v>
      </c>
      <c r="E166" t="s">
        <v>10</v>
      </c>
      <c r="F166" t="s">
        <v>11</v>
      </c>
      <c r="G166">
        <v>2</v>
      </c>
      <c r="H166">
        <v>17.133066818960501</v>
      </c>
      <c r="I166">
        <f t="shared" si="8"/>
        <v>17.510000000000002</v>
      </c>
      <c r="J166">
        <f t="shared" si="9"/>
        <v>3</v>
      </c>
      <c r="K166" t="e">
        <f t="shared" si="10"/>
        <v>#N/A</v>
      </c>
      <c r="L166" t="e">
        <f t="shared" si="11"/>
        <v>#N/A</v>
      </c>
    </row>
    <row r="167" spans="1:12" x14ac:dyDescent="0.25">
      <c r="A167">
        <v>24.52</v>
      </c>
      <c r="B167">
        <v>3.48</v>
      </c>
      <c r="C167" t="s">
        <v>12</v>
      </c>
      <c r="D167" t="s">
        <v>9</v>
      </c>
      <c r="E167" t="s">
        <v>10</v>
      </c>
      <c r="F167" t="s">
        <v>11</v>
      </c>
      <c r="G167">
        <v>3</v>
      </c>
      <c r="H167">
        <v>14.1924959216965</v>
      </c>
      <c r="I167" t="e">
        <f t="shared" si="8"/>
        <v>#N/A</v>
      </c>
      <c r="J167" t="e">
        <f t="shared" si="9"/>
        <v>#N/A</v>
      </c>
      <c r="K167">
        <f t="shared" si="10"/>
        <v>24.52</v>
      </c>
      <c r="L167">
        <f t="shared" si="11"/>
        <v>3.48</v>
      </c>
    </row>
    <row r="168" spans="1:12" x14ac:dyDescent="0.25">
      <c r="A168">
        <v>20.76</v>
      </c>
      <c r="B168">
        <v>2.2400000000000002</v>
      </c>
      <c r="C168" t="s">
        <v>12</v>
      </c>
      <c r="D168" t="s">
        <v>9</v>
      </c>
      <c r="E168" t="s">
        <v>10</v>
      </c>
      <c r="F168" t="s">
        <v>11</v>
      </c>
      <c r="G168">
        <v>2</v>
      </c>
      <c r="H168">
        <v>10.789980732177201</v>
      </c>
      <c r="I168" t="e">
        <f t="shared" si="8"/>
        <v>#N/A</v>
      </c>
      <c r="J168" t="e">
        <f t="shared" si="9"/>
        <v>#N/A</v>
      </c>
      <c r="K168">
        <f t="shared" si="10"/>
        <v>20.76</v>
      </c>
      <c r="L168">
        <f t="shared" si="11"/>
        <v>2.2400000000000002</v>
      </c>
    </row>
    <row r="169" spans="1:12" x14ac:dyDescent="0.25">
      <c r="A169">
        <v>31.71</v>
      </c>
      <c r="B169">
        <v>4.5</v>
      </c>
      <c r="C169" t="s">
        <v>12</v>
      </c>
      <c r="D169" t="s">
        <v>9</v>
      </c>
      <c r="E169" t="s">
        <v>10</v>
      </c>
      <c r="F169" t="s">
        <v>11</v>
      </c>
      <c r="G169">
        <v>4</v>
      </c>
      <c r="H169">
        <v>14.1911069063386</v>
      </c>
      <c r="I169" t="e">
        <f t="shared" si="8"/>
        <v>#N/A</v>
      </c>
      <c r="J169" t="e">
        <f t="shared" si="9"/>
        <v>#N/A</v>
      </c>
      <c r="K169">
        <f t="shared" si="10"/>
        <v>31.71</v>
      </c>
      <c r="L169">
        <f t="shared" si="11"/>
        <v>4.5</v>
      </c>
    </row>
    <row r="170" spans="1:12" x14ac:dyDescent="0.25">
      <c r="A170">
        <v>10.59</v>
      </c>
      <c r="B170">
        <v>1.61</v>
      </c>
      <c r="C170" t="s">
        <v>8</v>
      </c>
      <c r="D170" t="s">
        <v>14</v>
      </c>
      <c r="E170" t="s">
        <v>13</v>
      </c>
      <c r="F170" t="s">
        <v>11</v>
      </c>
      <c r="G170">
        <v>2</v>
      </c>
      <c r="H170">
        <v>15.2030217186024</v>
      </c>
      <c r="I170">
        <f t="shared" si="8"/>
        <v>10.59</v>
      </c>
      <c r="J170">
        <f t="shared" si="9"/>
        <v>1.61</v>
      </c>
      <c r="K170" t="e">
        <f t="shared" si="10"/>
        <v>#N/A</v>
      </c>
      <c r="L170" t="e">
        <f t="shared" si="11"/>
        <v>#N/A</v>
      </c>
    </row>
    <row r="171" spans="1:12" x14ac:dyDescent="0.25">
      <c r="A171">
        <v>10.63</v>
      </c>
      <c r="B171">
        <v>2</v>
      </c>
      <c r="C171" t="s">
        <v>8</v>
      </c>
      <c r="D171" t="s">
        <v>14</v>
      </c>
      <c r="E171" t="s">
        <v>13</v>
      </c>
      <c r="F171" t="s">
        <v>11</v>
      </c>
      <c r="G171">
        <v>2</v>
      </c>
      <c r="H171">
        <v>18.814675446848501</v>
      </c>
      <c r="I171">
        <f t="shared" si="8"/>
        <v>10.63</v>
      </c>
      <c r="J171">
        <f t="shared" si="9"/>
        <v>2</v>
      </c>
      <c r="K171" t="e">
        <f t="shared" si="10"/>
        <v>#N/A</v>
      </c>
      <c r="L171" t="e">
        <f t="shared" si="11"/>
        <v>#N/A</v>
      </c>
    </row>
    <row r="172" spans="1:12" x14ac:dyDescent="0.25">
      <c r="A172">
        <v>50.81</v>
      </c>
      <c r="B172">
        <v>10</v>
      </c>
      <c r="C172" t="s">
        <v>12</v>
      </c>
      <c r="D172" t="s">
        <v>14</v>
      </c>
      <c r="E172" t="s">
        <v>13</v>
      </c>
      <c r="F172" t="s">
        <v>11</v>
      </c>
      <c r="G172">
        <v>3</v>
      </c>
      <c r="H172">
        <v>19.681165124975301</v>
      </c>
      <c r="I172" t="e">
        <f t="shared" si="8"/>
        <v>#N/A</v>
      </c>
      <c r="J172" t="e">
        <f t="shared" si="9"/>
        <v>#N/A</v>
      </c>
      <c r="K172">
        <f t="shared" si="10"/>
        <v>50.81</v>
      </c>
      <c r="L172">
        <f t="shared" si="11"/>
        <v>10</v>
      </c>
    </row>
    <row r="173" spans="1:12" x14ac:dyDescent="0.25">
      <c r="A173">
        <v>15.81</v>
      </c>
      <c r="B173">
        <v>3.16</v>
      </c>
      <c r="C173" t="s">
        <v>12</v>
      </c>
      <c r="D173" t="s">
        <v>14</v>
      </c>
      <c r="E173" t="s">
        <v>13</v>
      </c>
      <c r="F173" t="s">
        <v>11</v>
      </c>
      <c r="G173">
        <v>2</v>
      </c>
      <c r="H173">
        <v>19.987349778621098</v>
      </c>
      <c r="I173" t="e">
        <f t="shared" si="8"/>
        <v>#N/A</v>
      </c>
      <c r="J173" t="e">
        <f t="shared" si="9"/>
        <v>#N/A</v>
      </c>
      <c r="K173">
        <f t="shared" si="10"/>
        <v>15.81</v>
      </c>
      <c r="L173">
        <f t="shared" si="11"/>
        <v>3.16</v>
      </c>
    </row>
    <row r="174" spans="1:12" x14ac:dyDescent="0.25">
      <c r="A174">
        <v>7.25</v>
      </c>
      <c r="B174">
        <v>5.15</v>
      </c>
      <c r="C174" t="s">
        <v>12</v>
      </c>
      <c r="D174" t="s">
        <v>14</v>
      </c>
      <c r="E174" t="s">
        <v>10</v>
      </c>
      <c r="F174" t="s">
        <v>11</v>
      </c>
      <c r="G174">
        <v>2</v>
      </c>
      <c r="H174">
        <v>71.034482758620697</v>
      </c>
      <c r="I174" t="e">
        <f t="shared" si="8"/>
        <v>#N/A</v>
      </c>
      <c r="J174" t="e">
        <f t="shared" si="9"/>
        <v>#N/A</v>
      </c>
      <c r="K174">
        <f t="shared" si="10"/>
        <v>7.25</v>
      </c>
      <c r="L174">
        <f t="shared" si="11"/>
        <v>5.15</v>
      </c>
    </row>
    <row r="175" spans="1:12" x14ac:dyDescent="0.25">
      <c r="A175">
        <v>31.85</v>
      </c>
      <c r="B175">
        <v>3.18</v>
      </c>
      <c r="C175" t="s">
        <v>12</v>
      </c>
      <c r="D175" t="s">
        <v>14</v>
      </c>
      <c r="E175" t="s">
        <v>10</v>
      </c>
      <c r="F175" t="s">
        <v>11</v>
      </c>
      <c r="G175">
        <v>2</v>
      </c>
      <c r="H175">
        <v>9.9843014128728402</v>
      </c>
      <c r="I175" t="e">
        <f t="shared" si="8"/>
        <v>#N/A</v>
      </c>
      <c r="J175" t="e">
        <f t="shared" si="9"/>
        <v>#N/A</v>
      </c>
      <c r="K175">
        <f t="shared" si="10"/>
        <v>31.85</v>
      </c>
      <c r="L175">
        <f t="shared" si="11"/>
        <v>3.18</v>
      </c>
    </row>
    <row r="176" spans="1:12" x14ac:dyDescent="0.25">
      <c r="A176">
        <v>16.82</v>
      </c>
      <c r="B176">
        <v>4</v>
      </c>
      <c r="C176" t="s">
        <v>12</v>
      </c>
      <c r="D176" t="s">
        <v>14</v>
      </c>
      <c r="E176" t="s">
        <v>10</v>
      </c>
      <c r="F176" t="s">
        <v>11</v>
      </c>
      <c r="G176">
        <v>2</v>
      </c>
      <c r="H176">
        <v>23.781212841854899</v>
      </c>
      <c r="I176" t="e">
        <f t="shared" si="8"/>
        <v>#N/A</v>
      </c>
      <c r="J176" t="e">
        <f t="shared" si="9"/>
        <v>#N/A</v>
      </c>
      <c r="K176">
        <f t="shared" si="10"/>
        <v>16.82</v>
      </c>
      <c r="L176">
        <f t="shared" si="11"/>
        <v>4</v>
      </c>
    </row>
    <row r="177" spans="1:12" x14ac:dyDescent="0.25">
      <c r="A177">
        <v>32.9</v>
      </c>
      <c r="B177">
        <v>3.11</v>
      </c>
      <c r="C177" t="s">
        <v>12</v>
      </c>
      <c r="D177" t="s">
        <v>14</v>
      </c>
      <c r="E177" t="s">
        <v>10</v>
      </c>
      <c r="F177" t="s">
        <v>11</v>
      </c>
      <c r="G177">
        <v>2</v>
      </c>
      <c r="H177">
        <v>9.4528875379939201</v>
      </c>
      <c r="I177" t="e">
        <f t="shared" si="8"/>
        <v>#N/A</v>
      </c>
      <c r="J177" t="e">
        <f t="shared" si="9"/>
        <v>#N/A</v>
      </c>
      <c r="K177">
        <f t="shared" si="10"/>
        <v>32.9</v>
      </c>
      <c r="L177">
        <f t="shared" si="11"/>
        <v>3.11</v>
      </c>
    </row>
    <row r="178" spans="1:12" x14ac:dyDescent="0.25">
      <c r="A178">
        <v>17.89</v>
      </c>
      <c r="B178">
        <v>2</v>
      </c>
      <c r="C178" t="s">
        <v>12</v>
      </c>
      <c r="D178" t="s">
        <v>14</v>
      </c>
      <c r="E178" t="s">
        <v>10</v>
      </c>
      <c r="F178" t="s">
        <v>11</v>
      </c>
      <c r="G178">
        <v>2</v>
      </c>
      <c r="H178">
        <v>11.1794298490776</v>
      </c>
      <c r="I178" t="e">
        <f t="shared" si="8"/>
        <v>#N/A</v>
      </c>
      <c r="J178" t="e">
        <f t="shared" si="9"/>
        <v>#N/A</v>
      </c>
      <c r="K178">
        <f t="shared" si="10"/>
        <v>17.89</v>
      </c>
      <c r="L178">
        <f t="shared" si="11"/>
        <v>2</v>
      </c>
    </row>
    <row r="179" spans="1:12" x14ac:dyDescent="0.25">
      <c r="A179">
        <v>14.48</v>
      </c>
      <c r="B179">
        <v>2</v>
      </c>
      <c r="C179" t="s">
        <v>12</v>
      </c>
      <c r="D179" t="s">
        <v>14</v>
      </c>
      <c r="E179" t="s">
        <v>10</v>
      </c>
      <c r="F179" t="s">
        <v>11</v>
      </c>
      <c r="G179">
        <v>2</v>
      </c>
      <c r="H179">
        <v>13.812154696132501</v>
      </c>
      <c r="I179" t="e">
        <f t="shared" si="8"/>
        <v>#N/A</v>
      </c>
      <c r="J179" t="e">
        <f t="shared" si="9"/>
        <v>#N/A</v>
      </c>
      <c r="K179">
        <f t="shared" si="10"/>
        <v>14.48</v>
      </c>
      <c r="L179">
        <f t="shared" si="11"/>
        <v>2</v>
      </c>
    </row>
    <row r="180" spans="1:12" x14ac:dyDescent="0.25">
      <c r="A180">
        <v>9.6</v>
      </c>
      <c r="B180">
        <v>4</v>
      </c>
      <c r="C180" t="s">
        <v>8</v>
      </c>
      <c r="D180" t="s">
        <v>14</v>
      </c>
      <c r="E180" t="s">
        <v>10</v>
      </c>
      <c r="F180" t="s">
        <v>11</v>
      </c>
      <c r="G180">
        <v>2</v>
      </c>
      <c r="H180">
        <v>41.6666666666666</v>
      </c>
      <c r="I180">
        <f t="shared" si="8"/>
        <v>9.6</v>
      </c>
      <c r="J180">
        <f t="shared" si="9"/>
        <v>4</v>
      </c>
      <c r="K180" t="e">
        <f t="shared" si="10"/>
        <v>#N/A</v>
      </c>
      <c r="L180" t="e">
        <f t="shared" si="11"/>
        <v>#N/A</v>
      </c>
    </row>
    <row r="181" spans="1:12" x14ac:dyDescent="0.25">
      <c r="A181">
        <v>34.630000000000003</v>
      </c>
      <c r="B181">
        <v>3.55</v>
      </c>
      <c r="C181" t="s">
        <v>12</v>
      </c>
      <c r="D181" t="s">
        <v>14</v>
      </c>
      <c r="E181" t="s">
        <v>10</v>
      </c>
      <c r="F181" t="s">
        <v>11</v>
      </c>
      <c r="G181">
        <v>2</v>
      </c>
      <c r="H181">
        <v>10.251227259601499</v>
      </c>
      <c r="I181" t="e">
        <f t="shared" si="8"/>
        <v>#N/A</v>
      </c>
      <c r="J181" t="e">
        <f t="shared" si="9"/>
        <v>#N/A</v>
      </c>
      <c r="K181">
        <f t="shared" si="10"/>
        <v>34.630000000000003</v>
      </c>
      <c r="L181">
        <f t="shared" si="11"/>
        <v>3.55</v>
      </c>
    </row>
    <row r="182" spans="1:12" x14ac:dyDescent="0.25">
      <c r="A182">
        <v>34.65</v>
      </c>
      <c r="B182">
        <v>3.68</v>
      </c>
      <c r="C182" t="s">
        <v>12</v>
      </c>
      <c r="D182" t="s">
        <v>14</v>
      </c>
      <c r="E182" t="s">
        <v>10</v>
      </c>
      <c r="F182" t="s">
        <v>11</v>
      </c>
      <c r="G182">
        <v>4</v>
      </c>
      <c r="H182">
        <v>10.6204906204906</v>
      </c>
      <c r="I182" t="e">
        <f t="shared" si="8"/>
        <v>#N/A</v>
      </c>
      <c r="J182" t="e">
        <f t="shared" si="9"/>
        <v>#N/A</v>
      </c>
      <c r="K182">
        <f t="shared" si="10"/>
        <v>34.65</v>
      </c>
      <c r="L182">
        <f t="shared" si="11"/>
        <v>3.68</v>
      </c>
    </row>
    <row r="183" spans="1:12" x14ac:dyDescent="0.25">
      <c r="A183">
        <v>23.33</v>
      </c>
      <c r="B183">
        <v>5.65</v>
      </c>
      <c r="C183" t="s">
        <v>12</v>
      </c>
      <c r="D183" t="s">
        <v>14</v>
      </c>
      <c r="E183" t="s">
        <v>10</v>
      </c>
      <c r="F183" t="s">
        <v>11</v>
      </c>
      <c r="G183">
        <v>2</v>
      </c>
      <c r="H183">
        <v>24.2177453921988</v>
      </c>
      <c r="I183" t="e">
        <f t="shared" si="8"/>
        <v>#N/A</v>
      </c>
      <c r="J183" t="e">
        <f t="shared" si="9"/>
        <v>#N/A</v>
      </c>
      <c r="K183">
        <f t="shared" si="10"/>
        <v>23.33</v>
      </c>
      <c r="L183">
        <f t="shared" si="11"/>
        <v>5.65</v>
      </c>
    </row>
    <row r="184" spans="1:12" x14ac:dyDescent="0.25">
      <c r="A184">
        <v>45.35</v>
      </c>
      <c r="B184">
        <v>3.5</v>
      </c>
      <c r="C184" t="s">
        <v>12</v>
      </c>
      <c r="D184" t="s">
        <v>14</v>
      </c>
      <c r="E184" t="s">
        <v>10</v>
      </c>
      <c r="F184" t="s">
        <v>11</v>
      </c>
      <c r="G184">
        <v>3</v>
      </c>
      <c r="H184">
        <v>7.7177508269018702</v>
      </c>
      <c r="I184" t="e">
        <f t="shared" si="8"/>
        <v>#N/A</v>
      </c>
      <c r="J184" t="e">
        <f t="shared" si="9"/>
        <v>#N/A</v>
      </c>
      <c r="K184">
        <f t="shared" si="10"/>
        <v>45.35</v>
      </c>
      <c r="L184">
        <f t="shared" si="11"/>
        <v>3.5</v>
      </c>
    </row>
    <row r="185" spans="1:12" x14ac:dyDescent="0.25">
      <c r="A185">
        <v>23.17</v>
      </c>
      <c r="B185">
        <v>6.5</v>
      </c>
      <c r="C185" t="s">
        <v>12</v>
      </c>
      <c r="D185" t="s">
        <v>14</v>
      </c>
      <c r="E185" t="s">
        <v>10</v>
      </c>
      <c r="F185" t="s">
        <v>11</v>
      </c>
      <c r="G185">
        <v>4</v>
      </c>
      <c r="H185">
        <v>28.053517479499298</v>
      </c>
      <c r="I185" t="e">
        <f t="shared" si="8"/>
        <v>#N/A</v>
      </c>
      <c r="J185" t="e">
        <f t="shared" si="9"/>
        <v>#N/A</v>
      </c>
      <c r="K185">
        <f t="shared" si="10"/>
        <v>23.17</v>
      </c>
      <c r="L185">
        <f t="shared" si="11"/>
        <v>6.5</v>
      </c>
    </row>
    <row r="186" spans="1:12" x14ac:dyDescent="0.25">
      <c r="A186">
        <v>40.549999999999997</v>
      </c>
      <c r="B186">
        <v>3</v>
      </c>
      <c r="C186" t="s">
        <v>12</v>
      </c>
      <c r="D186" t="s">
        <v>14</v>
      </c>
      <c r="E186" t="s">
        <v>10</v>
      </c>
      <c r="F186" t="s">
        <v>11</v>
      </c>
      <c r="G186">
        <v>2</v>
      </c>
      <c r="H186">
        <v>7.39827373612823</v>
      </c>
      <c r="I186" t="e">
        <f t="shared" si="8"/>
        <v>#N/A</v>
      </c>
      <c r="J186" t="e">
        <f t="shared" si="9"/>
        <v>#N/A</v>
      </c>
      <c r="K186">
        <f t="shared" si="10"/>
        <v>40.549999999999997</v>
      </c>
      <c r="L186">
        <f t="shared" si="11"/>
        <v>3</v>
      </c>
    </row>
    <row r="187" spans="1:12" x14ac:dyDescent="0.25">
      <c r="A187">
        <v>20.69</v>
      </c>
      <c r="B187">
        <v>5</v>
      </c>
      <c r="C187" t="s">
        <v>12</v>
      </c>
      <c r="D187" t="s">
        <v>9</v>
      </c>
      <c r="E187" t="s">
        <v>10</v>
      </c>
      <c r="F187" t="s">
        <v>11</v>
      </c>
      <c r="G187">
        <v>5</v>
      </c>
      <c r="H187">
        <v>24.166263895601698</v>
      </c>
      <c r="I187" t="e">
        <f t="shared" si="8"/>
        <v>#N/A</v>
      </c>
      <c r="J187" t="e">
        <f t="shared" si="9"/>
        <v>#N/A</v>
      </c>
      <c r="K187">
        <f t="shared" si="10"/>
        <v>20.69</v>
      </c>
      <c r="L187">
        <f t="shared" si="11"/>
        <v>5</v>
      </c>
    </row>
    <row r="188" spans="1:12" x14ac:dyDescent="0.25">
      <c r="A188">
        <v>20.9</v>
      </c>
      <c r="B188">
        <v>3.5</v>
      </c>
      <c r="C188" t="s">
        <v>8</v>
      </c>
      <c r="D188" t="s">
        <v>14</v>
      </c>
      <c r="E188" t="s">
        <v>10</v>
      </c>
      <c r="F188" t="s">
        <v>11</v>
      </c>
      <c r="G188">
        <v>3</v>
      </c>
      <c r="H188">
        <v>16.7464114832535</v>
      </c>
      <c r="I188">
        <f t="shared" si="8"/>
        <v>20.9</v>
      </c>
      <c r="J188">
        <f t="shared" si="9"/>
        <v>3.5</v>
      </c>
      <c r="K188" t="e">
        <f t="shared" si="10"/>
        <v>#N/A</v>
      </c>
      <c r="L188" t="e">
        <f t="shared" si="11"/>
        <v>#N/A</v>
      </c>
    </row>
    <row r="189" spans="1:12" x14ac:dyDescent="0.25">
      <c r="A189">
        <v>30.46</v>
      </c>
      <c r="B189">
        <v>2</v>
      </c>
      <c r="C189" t="s">
        <v>12</v>
      </c>
      <c r="D189" t="s">
        <v>14</v>
      </c>
      <c r="E189" t="s">
        <v>10</v>
      </c>
      <c r="F189" t="s">
        <v>11</v>
      </c>
      <c r="G189">
        <v>5</v>
      </c>
      <c r="H189">
        <v>6.5659881812212699</v>
      </c>
      <c r="I189" t="e">
        <f t="shared" si="8"/>
        <v>#N/A</v>
      </c>
      <c r="J189" t="e">
        <f t="shared" si="9"/>
        <v>#N/A</v>
      </c>
      <c r="K189">
        <f t="shared" si="10"/>
        <v>30.46</v>
      </c>
      <c r="L189">
        <f t="shared" si="11"/>
        <v>2</v>
      </c>
    </row>
    <row r="190" spans="1:12" x14ac:dyDescent="0.25">
      <c r="A190">
        <v>18.149999999999999</v>
      </c>
      <c r="B190">
        <v>3.5</v>
      </c>
      <c r="C190" t="s">
        <v>8</v>
      </c>
      <c r="D190" t="s">
        <v>14</v>
      </c>
      <c r="E190" t="s">
        <v>10</v>
      </c>
      <c r="F190" t="s">
        <v>11</v>
      </c>
      <c r="G190">
        <v>3</v>
      </c>
      <c r="H190">
        <v>19.283746556473801</v>
      </c>
      <c r="I190">
        <f t="shared" si="8"/>
        <v>18.149999999999999</v>
      </c>
      <c r="J190">
        <f t="shared" si="9"/>
        <v>3.5</v>
      </c>
      <c r="K190" t="e">
        <f t="shared" si="10"/>
        <v>#N/A</v>
      </c>
      <c r="L190" t="e">
        <f t="shared" si="11"/>
        <v>#N/A</v>
      </c>
    </row>
    <row r="191" spans="1:12" x14ac:dyDescent="0.25">
      <c r="A191">
        <v>23.1</v>
      </c>
      <c r="B191">
        <v>4</v>
      </c>
      <c r="C191" t="s">
        <v>12</v>
      </c>
      <c r="D191" t="s">
        <v>14</v>
      </c>
      <c r="E191" t="s">
        <v>10</v>
      </c>
      <c r="F191" t="s">
        <v>11</v>
      </c>
      <c r="G191">
        <v>3</v>
      </c>
      <c r="H191">
        <v>17.316017316017302</v>
      </c>
      <c r="I191" t="e">
        <f t="shared" si="8"/>
        <v>#N/A</v>
      </c>
      <c r="J191" t="e">
        <f t="shared" si="9"/>
        <v>#N/A</v>
      </c>
      <c r="K191">
        <f t="shared" si="10"/>
        <v>23.1</v>
      </c>
      <c r="L191">
        <f t="shared" si="11"/>
        <v>4</v>
      </c>
    </row>
    <row r="192" spans="1:12" x14ac:dyDescent="0.25">
      <c r="A192">
        <v>15.69</v>
      </c>
      <c r="B192">
        <v>1.5</v>
      </c>
      <c r="C192" t="s">
        <v>12</v>
      </c>
      <c r="D192" t="s">
        <v>14</v>
      </c>
      <c r="E192" t="s">
        <v>10</v>
      </c>
      <c r="F192" t="s">
        <v>11</v>
      </c>
      <c r="G192">
        <v>2</v>
      </c>
      <c r="H192">
        <v>9.5602294455066907</v>
      </c>
      <c r="I192" t="e">
        <f t="shared" si="8"/>
        <v>#N/A</v>
      </c>
      <c r="J192" t="e">
        <f t="shared" si="9"/>
        <v>#N/A</v>
      </c>
      <c r="K192">
        <f t="shared" si="10"/>
        <v>15.69</v>
      </c>
      <c r="L192">
        <f t="shared" si="11"/>
        <v>1.5</v>
      </c>
    </row>
    <row r="193" spans="1:12" x14ac:dyDescent="0.25">
      <c r="A193">
        <v>19.809999999999999</v>
      </c>
      <c r="B193">
        <v>4.1900000000000004</v>
      </c>
      <c r="C193" t="s">
        <v>8</v>
      </c>
      <c r="D193" t="s">
        <v>14</v>
      </c>
      <c r="E193" t="s">
        <v>15</v>
      </c>
      <c r="F193" t="s">
        <v>16</v>
      </c>
      <c r="G193">
        <v>2</v>
      </c>
      <c r="H193">
        <v>21.150933871781898</v>
      </c>
      <c r="I193">
        <f t="shared" si="8"/>
        <v>19.809999999999999</v>
      </c>
      <c r="J193">
        <f t="shared" si="9"/>
        <v>4.1900000000000004</v>
      </c>
      <c r="K193" t="e">
        <f t="shared" si="10"/>
        <v>#N/A</v>
      </c>
      <c r="L193" t="e">
        <f t="shared" si="11"/>
        <v>#N/A</v>
      </c>
    </row>
    <row r="194" spans="1:12" x14ac:dyDescent="0.25">
      <c r="A194">
        <v>28.44</v>
      </c>
      <c r="B194">
        <v>2.56</v>
      </c>
      <c r="C194" t="s">
        <v>12</v>
      </c>
      <c r="D194" t="s">
        <v>14</v>
      </c>
      <c r="E194" t="s">
        <v>15</v>
      </c>
      <c r="F194" t="s">
        <v>16</v>
      </c>
      <c r="G194">
        <v>2</v>
      </c>
      <c r="H194">
        <v>9.0014064697608998</v>
      </c>
      <c r="I194" t="e">
        <f t="shared" si="8"/>
        <v>#N/A</v>
      </c>
      <c r="J194" t="e">
        <f t="shared" si="9"/>
        <v>#N/A</v>
      </c>
      <c r="K194">
        <f t="shared" si="10"/>
        <v>28.44</v>
      </c>
      <c r="L194">
        <f t="shared" si="11"/>
        <v>2.56</v>
      </c>
    </row>
    <row r="195" spans="1:12" x14ac:dyDescent="0.25">
      <c r="A195">
        <v>15.48</v>
      </c>
      <c r="B195">
        <v>2.02</v>
      </c>
      <c r="C195" t="s">
        <v>12</v>
      </c>
      <c r="D195" t="s">
        <v>14</v>
      </c>
      <c r="E195" t="s">
        <v>15</v>
      </c>
      <c r="F195" t="s">
        <v>16</v>
      </c>
      <c r="G195">
        <v>2</v>
      </c>
      <c r="H195">
        <v>13.049095607235101</v>
      </c>
      <c r="I195" t="e">
        <f t="shared" ref="I195:I245" si="12">IF($C195="Female",$A195,NA())</f>
        <v>#N/A</v>
      </c>
      <c r="J195" t="e">
        <f t="shared" ref="J195:J245" si="13">IF($C195="Female",$B195,NA())</f>
        <v>#N/A</v>
      </c>
      <c r="K195">
        <f t="shared" ref="K195:K245" si="14">IF($C195="Male",$A195,NA())</f>
        <v>15.48</v>
      </c>
      <c r="L195">
        <f t="shared" ref="L195:L245" si="15">IF($C195="Male",$B195,NA())</f>
        <v>2.02</v>
      </c>
    </row>
    <row r="196" spans="1:12" x14ac:dyDescent="0.25">
      <c r="A196">
        <v>16.579999999999998</v>
      </c>
      <c r="B196">
        <v>4</v>
      </c>
      <c r="C196" t="s">
        <v>12</v>
      </c>
      <c r="D196" t="s">
        <v>14</v>
      </c>
      <c r="E196" t="s">
        <v>15</v>
      </c>
      <c r="F196" t="s">
        <v>16</v>
      </c>
      <c r="G196">
        <v>2</v>
      </c>
      <c r="H196">
        <v>24.125452352231601</v>
      </c>
      <c r="I196" t="e">
        <f t="shared" si="12"/>
        <v>#N/A</v>
      </c>
      <c r="J196" t="e">
        <f t="shared" si="13"/>
        <v>#N/A</v>
      </c>
      <c r="K196">
        <f t="shared" si="14"/>
        <v>16.579999999999998</v>
      </c>
      <c r="L196">
        <f t="shared" si="15"/>
        <v>4</v>
      </c>
    </row>
    <row r="197" spans="1:12" x14ac:dyDescent="0.25">
      <c r="A197">
        <v>7.56</v>
      </c>
      <c r="B197">
        <v>1.44</v>
      </c>
      <c r="C197" t="s">
        <v>12</v>
      </c>
      <c r="D197" t="s">
        <v>9</v>
      </c>
      <c r="E197" t="s">
        <v>15</v>
      </c>
      <c r="F197" t="s">
        <v>16</v>
      </c>
      <c r="G197">
        <v>2</v>
      </c>
      <c r="H197">
        <v>19.047619047619001</v>
      </c>
      <c r="I197" t="e">
        <f t="shared" si="12"/>
        <v>#N/A</v>
      </c>
      <c r="J197" t="e">
        <f t="shared" si="13"/>
        <v>#N/A</v>
      </c>
      <c r="K197">
        <f t="shared" si="14"/>
        <v>7.56</v>
      </c>
      <c r="L197">
        <f t="shared" si="15"/>
        <v>1.44</v>
      </c>
    </row>
    <row r="198" spans="1:12" x14ac:dyDescent="0.25">
      <c r="A198">
        <v>10.34</v>
      </c>
      <c r="B198">
        <v>2</v>
      </c>
      <c r="C198" t="s">
        <v>12</v>
      </c>
      <c r="D198" t="s">
        <v>14</v>
      </c>
      <c r="E198" t="s">
        <v>15</v>
      </c>
      <c r="F198" t="s">
        <v>16</v>
      </c>
      <c r="G198">
        <v>2</v>
      </c>
      <c r="H198">
        <v>19.342359767891601</v>
      </c>
      <c r="I198" t="e">
        <f t="shared" si="12"/>
        <v>#N/A</v>
      </c>
      <c r="J198" t="e">
        <f t="shared" si="13"/>
        <v>#N/A</v>
      </c>
      <c r="K198">
        <f t="shared" si="14"/>
        <v>10.34</v>
      </c>
      <c r="L198">
        <f t="shared" si="15"/>
        <v>2</v>
      </c>
    </row>
    <row r="199" spans="1:12" x14ac:dyDescent="0.25">
      <c r="A199">
        <v>43.11</v>
      </c>
      <c r="B199">
        <v>5</v>
      </c>
      <c r="C199" t="s">
        <v>8</v>
      </c>
      <c r="D199" t="s">
        <v>14</v>
      </c>
      <c r="E199" t="s">
        <v>15</v>
      </c>
      <c r="F199" t="s">
        <v>16</v>
      </c>
      <c r="G199">
        <v>4</v>
      </c>
      <c r="H199">
        <v>11.5982370679656</v>
      </c>
      <c r="I199">
        <f t="shared" si="12"/>
        <v>43.11</v>
      </c>
      <c r="J199">
        <f t="shared" si="13"/>
        <v>5</v>
      </c>
      <c r="K199" t="e">
        <f t="shared" si="14"/>
        <v>#N/A</v>
      </c>
      <c r="L199" t="e">
        <f t="shared" si="15"/>
        <v>#N/A</v>
      </c>
    </row>
    <row r="200" spans="1:12" x14ac:dyDescent="0.25">
      <c r="A200">
        <v>13</v>
      </c>
      <c r="B200">
        <v>2</v>
      </c>
      <c r="C200" t="s">
        <v>8</v>
      </c>
      <c r="D200" t="s">
        <v>14</v>
      </c>
      <c r="E200" t="s">
        <v>15</v>
      </c>
      <c r="F200" t="s">
        <v>16</v>
      </c>
      <c r="G200">
        <v>2</v>
      </c>
      <c r="H200">
        <v>15.3846153846153</v>
      </c>
      <c r="I200">
        <f t="shared" si="12"/>
        <v>13</v>
      </c>
      <c r="J200">
        <f t="shared" si="13"/>
        <v>2</v>
      </c>
      <c r="K200" t="e">
        <f t="shared" si="14"/>
        <v>#N/A</v>
      </c>
      <c r="L200" t="e">
        <f t="shared" si="15"/>
        <v>#N/A</v>
      </c>
    </row>
    <row r="201" spans="1:12" x14ac:dyDescent="0.25">
      <c r="A201">
        <v>13.51</v>
      </c>
      <c r="B201">
        <v>2</v>
      </c>
      <c r="C201" t="s">
        <v>12</v>
      </c>
      <c r="D201" t="s">
        <v>14</v>
      </c>
      <c r="E201" t="s">
        <v>15</v>
      </c>
      <c r="F201" t="s">
        <v>16</v>
      </c>
      <c r="G201">
        <v>2</v>
      </c>
      <c r="H201">
        <v>14.803849000740099</v>
      </c>
      <c r="I201" t="e">
        <f t="shared" si="12"/>
        <v>#N/A</v>
      </c>
      <c r="J201" t="e">
        <f t="shared" si="13"/>
        <v>#N/A</v>
      </c>
      <c r="K201">
        <f t="shared" si="14"/>
        <v>13.51</v>
      </c>
      <c r="L201">
        <f t="shared" si="15"/>
        <v>2</v>
      </c>
    </row>
    <row r="202" spans="1:12" x14ac:dyDescent="0.25">
      <c r="A202">
        <v>18.71</v>
      </c>
      <c r="B202">
        <v>4</v>
      </c>
      <c r="C202" t="s">
        <v>12</v>
      </c>
      <c r="D202" t="s">
        <v>14</v>
      </c>
      <c r="E202" t="s">
        <v>15</v>
      </c>
      <c r="F202" t="s">
        <v>16</v>
      </c>
      <c r="G202">
        <v>3</v>
      </c>
      <c r="H202">
        <v>21.378941742383699</v>
      </c>
      <c r="I202" t="e">
        <f t="shared" si="12"/>
        <v>#N/A</v>
      </c>
      <c r="J202" t="e">
        <f t="shared" si="13"/>
        <v>#N/A</v>
      </c>
      <c r="K202">
        <f t="shared" si="14"/>
        <v>18.71</v>
      </c>
      <c r="L202">
        <f t="shared" si="15"/>
        <v>4</v>
      </c>
    </row>
    <row r="203" spans="1:12" x14ac:dyDescent="0.25">
      <c r="A203">
        <v>12.74</v>
      </c>
      <c r="B203">
        <v>2.0099999999999998</v>
      </c>
      <c r="C203" t="s">
        <v>8</v>
      </c>
      <c r="D203" t="s">
        <v>14</v>
      </c>
      <c r="E203" t="s">
        <v>15</v>
      </c>
      <c r="F203" t="s">
        <v>16</v>
      </c>
      <c r="G203">
        <v>2</v>
      </c>
      <c r="H203">
        <v>15.777080062794299</v>
      </c>
      <c r="I203">
        <f t="shared" si="12"/>
        <v>12.74</v>
      </c>
      <c r="J203">
        <f t="shared" si="13"/>
        <v>2.0099999999999998</v>
      </c>
      <c r="K203" t="e">
        <f t="shared" si="14"/>
        <v>#N/A</v>
      </c>
      <c r="L203" t="e">
        <f t="shared" si="15"/>
        <v>#N/A</v>
      </c>
    </row>
    <row r="204" spans="1:12" x14ac:dyDescent="0.25">
      <c r="A204">
        <v>13</v>
      </c>
      <c r="B204">
        <v>2</v>
      </c>
      <c r="C204" t="s">
        <v>8</v>
      </c>
      <c r="D204" t="s">
        <v>14</v>
      </c>
      <c r="E204" t="s">
        <v>15</v>
      </c>
      <c r="F204" t="s">
        <v>16</v>
      </c>
      <c r="G204">
        <v>2</v>
      </c>
      <c r="H204">
        <v>15.3846153846153</v>
      </c>
      <c r="I204">
        <f t="shared" si="12"/>
        <v>13</v>
      </c>
      <c r="J204">
        <f t="shared" si="13"/>
        <v>2</v>
      </c>
      <c r="K204" t="e">
        <f t="shared" si="14"/>
        <v>#N/A</v>
      </c>
      <c r="L204" t="e">
        <f t="shared" si="15"/>
        <v>#N/A</v>
      </c>
    </row>
    <row r="205" spans="1:12" x14ac:dyDescent="0.25">
      <c r="A205">
        <v>16.399999999999999</v>
      </c>
      <c r="B205">
        <v>2.5</v>
      </c>
      <c r="C205" t="s">
        <v>8</v>
      </c>
      <c r="D205" t="s">
        <v>14</v>
      </c>
      <c r="E205" t="s">
        <v>15</v>
      </c>
      <c r="F205" t="s">
        <v>16</v>
      </c>
      <c r="G205">
        <v>2</v>
      </c>
      <c r="H205">
        <v>15.2439024390243</v>
      </c>
      <c r="I205">
        <f t="shared" si="12"/>
        <v>16.399999999999999</v>
      </c>
      <c r="J205">
        <f t="shared" si="13"/>
        <v>2.5</v>
      </c>
      <c r="K205" t="e">
        <f t="shared" si="14"/>
        <v>#N/A</v>
      </c>
      <c r="L205" t="e">
        <f t="shared" si="15"/>
        <v>#N/A</v>
      </c>
    </row>
    <row r="206" spans="1:12" x14ac:dyDescent="0.25">
      <c r="A206">
        <v>20.53</v>
      </c>
      <c r="B206">
        <v>4</v>
      </c>
      <c r="C206" t="s">
        <v>12</v>
      </c>
      <c r="D206" t="s">
        <v>14</v>
      </c>
      <c r="E206" t="s">
        <v>15</v>
      </c>
      <c r="F206" t="s">
        <v>16</v>
      </c>
      <c r="G206">
        <v>4</v>
      </c>
      <c r="H206">
        <v>19.483682415976599</v>
      </c>
      <c r="I206" t="e">
        <f t="shared" si="12"/>
        <v>#N/A</v>
      </c>
      <c r="J206" t="e">
        <f t="shared" si="13"/>
        <v>#N/A</v>
      </c>
      <c r="K206">
        <f t="shared" si="14"/>
        <v>20.53</v>
      </c>
      <c r="L206">
        <f t="shared" si="15"/>
        <v>4</v>
      </c>
    </row>
    <row r="207" spans="1:12" x14ac:dyDescent="0.25">
      <c r="A207">
        <v>16.47</v>
      </c>
      <c r="B207">
        <v>3.23</v>
      </c>
      <c r="C207" t="s">
        <v>8</v>
      </c>
      <c r="D207" t="s">
        <v>14</v>
      </c>
      <c r="E207" t="s">
        <v>15</v>
      </c>
      <c r="F207" t="s">
        <v>16</v>
      </c>
      <c r="G207">
        <v>3</v>
      </c>
      <c r="H207">
        <v>19.611414693381899</v>
      </c>
      <c r="I207">
        <f t="shared" si="12"/>
        <v>16.47</v>
      </c>
      <c r="J207">
        <f t="shared" si="13"/>
        <v>3.23</v>
      </c>
      <c r="K207" t="e">
        <f t="shared" si="14"/>
        <v>#N/A</v>
      </c>
      <c r="L207" t="e">
        <f t="shared" si="15"/>
        <v>#N/A</v>
      </c>
    </row>
    <row r="208" spans="1:12" x14ac:dyDescent="0.25">
      <c r="A208">
        <v>26.59</v>
      </c>
      <c r="B208">
        <v>3.41</v>
      </c>
      <c r="C208" t="s">
        <v>12</v>
      </c>
      <c r="D208" t="s">
        <v>14</v>
      </c>
      <c r="E208" t="s">
        <v>13</v>
      </c>
      <c r="F208" t="s">
        <v>11</v>
      </c>
      <c r="G208">
        <v>3</v>
      </c>
      <c r="H208">
        <v>12.824370063933801</v>
      </c>
      <c r="I208" t="e">
        <f t="shared" si="12"/>
        <v>#N/A</v>
      </c>
      <c r="J208" t="e">
        <f t="shared" si="13"/>
        <v>#N/A</v>
      </c>
      <c r="K208">
        <f t="shared" si="14"/>
        <v>26.59</v>
      </c>
      <c r="L208">
        <f t="shared" si="15"/>
        <v>3.41</v>
      </c>
    </row>
    <row r="209" spans="1:12" x14ac:dyDescent="0.25">
      <c r="A209">
        <v>38.729999999999997</v>
      </c>
      <c r="B209">
        <v>3</v>
      </c>
      <c r="C209" t="s">
        <v>12</v>
      </c>
      <c r="D209" t="s">
        <v>14</v>
      </c>
      <c r="E209" t="s">
        <v>13</v>
      </c>
      <c r="F209" t="s">
        <v>11</v>
      </c>
      <c r="G209">
        <v>4</v>
      </c>
      <c r="H209">
        <v>7.74593338497289</v>
      </c>
      <c r="I209" t="e">
        <f t="shared" si="12"/>
        <v>#N/A</v>
      </c>
      <c r="J209" t="e">
        <f t="shared" si="13"/>
        <v>#N/A</v>
      </c>
      <c r="K209">
        <f t="shared" si="14"/>
        <v>38.729999999999997</v>
      </c>
      <c r="L209">
        <f t="shared" si="15"/>
        <v>3</v>
      </c>
    </row>
    <row r="210" spans="1:12" x14ac:dyDescent="0.25">
      <c r="A210">
        <v>24.27</v>
      </c>
      <c r="B210">
        <v>2.0299999999999998</v>
      </c>
      <c r="C210" t="s">
        <v>12</v>
      </c>
      <c r="D210" t="s">
        <v>14</v>
      </c>
      <c r="E210" t="s">
        <v>13</v>
      </c>
      <c r="F210" t="s">
        <v>11</v>
      </c>
      <c r="G210">
        <v>2</v>
      </c>
      <c r="H210">
        <v>8.3642356819118202</v>
      </c>
      <c r="I210" t="e">
        <f t="shared" si="12"/>
        <v>#N/A</v>
      </c>
      <c r="J210" t="e">
        <f t="shared" si="13"/>
        <v>#N/A</v>
      </c>
      <c r="K210">
        <f t="shared" si="14"/>
        <v>24.27</v>
      </c>
      <c r="L210">
        <f t="shared" si="15"/>
        <v>2.0299999999999998</v>
      </c>
    </row>
    <row r="211" spans="1:12" x14ac:dyDescent="0.25">
      <c r="A211">
        <v>12.76</v>
      </c>
      <c r="B211">
        <v>2.23</v>
      </c>
      <c r="C211" t="s">
        <v>8</v>
      </c>
      <c r="D211" t="s">
        <v>14</v>
      </c>
      <c r="E211" t="s">
        <v>13</v>
      </c>
      <c r="F211" t="s">
        <v>11</v>
      </c>
      <c r="G211">
        <v>2</v>
      </c>
      <c r="H211">
        <v>17.476489028213098</v>
      </c>
      <c r="I211">
        <f t="shared" si="12"/>
        <v>12.76</v>
      </c>
      <c r="J211">
        <f t="shared" si="13"/>
        <v>2.23</v>
      </c>
      <c r="K211" t="e">
        <f t="shared" si="14"/>
        <v>#N/A</v>
      </c>
      <c r="L211" t="e">
        <f t="shared" si="15"/>
        <v>#N/A</v>
      </c>
    </row>
    <row r="212" spans="1:12" x14ac:dyDescent="0.25">
      <c r="A212">
        <v>30.06</v>
      </c>
      <c r="B212">
        <v>2</v>
      </c>
      <c r="C212" t="s">
        <v>12</v>
      </c>
      <c r="D212" t="s">
        <v>14</v>
      </c>
      <c r="E212" t="s">
        <v>13</v>
      </c>
      <c r="F212" t="s">
        <v>11</v>
      </c>
      <c r="G212">
        <v>3</v>
      </c>
      <c r="H212">
        <v>6.6533599467731204</v>
      </c>
      <c r="I212" t="e">
        <f t="shared" si="12"/>
        <v>#N/A</v>
      </c>
      <c r="J212" t="e">
        <f t="shared" si="13"/>
        <v>#N/A</v>
      </c>
      <c r="K212">
        <f t="shared" si="14"/>
        <v>30.06</v>
      </c>
      <c r="L212">
        <f t="shared" si="15"/>
        <v>2</v>
      </c>
    </row>
    <row r="213" spans="1:12" x14ac:dyDescent="0.25">
      <c r="A213">
        <v>25.89</v>
      </c>
      <c r="B213">
        <v>5.16</v>
      </c>
      <c r="C213" t="s">
        <v>12</v>
      </c>
      <c r="D213" t="s">
        <v>14</v>
      </c>
      <c r="E213" t="s">
        <v>13</v>
      </c>
      <c r="F213" t="s">
        <v>11</v>
      </c>
      <c r="G213">
        <v>4</v>
      </c>
      <c r="H213">
        <v>19.9304750869061</v>
      </c>
      <c r="I213" t="e">
        <f t="shared" si="12"/>
        <v>#N/A</v>
      </c>
      <c r="J213" t="e">
        <f t="shared" si="13"/>
        <v>#N/A</v>
      </c>
      <c r="K213">
        <f t="shared" si="14"/>
        <v>25.89</v>
      </c>
      <c r="L213">
        <f t="shared" si="15"/>
        <v>5.16</v>
      </c>
    </row>
    <row r="214" spans="1:12" x14ac:dyDescent="0.25">
      <c r="A214">
        <v>48.33</v>
      </c>
      <c r="B214">
        <v>9</v>
      </c>
      <c r="C214" t="s">
        <v>12</v>
      </c>
      <c r="D214" t="s">
        <v>9</v>
      </c>
      <c r="E214" t="s">
        <v>13</v>
      </c>
      <c r="F214" t="s">
        <v>11</v>
      </c>
      <c r="G214">
        <v>4</v>
      </c>
      <c r="H214">
        <v>18.6219739292365</v>
      </c>
      <c r="I214" t="e">
        <f t="shared" si="12"/>
        <v>#N/A</v>
      </c>
      <c r="J214" t="e">
        <f t="shared" si="13"/>
        <v>#N/A</v>
      </c>
      <c r="K214">
        <f t="shared" si="14"/>
        <v>48.33</v>
      </c>
      <c r="L214">
        <f t="shared" si="15"/>
        <v>9</v>
      </c>
    </row>
    <row r="215" spans="1:12" x14ac:dyDescent="0.25">
      <c r="A215">
        <v>13.27</v>
      </c>
      <c r="B215">
        <v>2.5</v>
      </c>
      <c r="C215" t="s">
        <v>8</v>
      </c>
      <c r="D215" t="s">
        <v>14</v>
      </c>
      <c r="E215" t="s">
        <v>13</v>
      </c>
      <c r="F215" t="s">
        <v>11</v>
      </c>
      <c r="G215">
        <v>2</v>
      </c>
      <c r="H215">
        <v>18.8394875659382</v>
      </c>
      <c r="I215">
        <f t="shared" si="12"/>
        <v>13.27</v>
      </c>
      <c r="J215">
        <f t="shared" si="13"/>
        <v>2.5</v>
      </c>
      <c r="K215" t="e">
        <f t="shared" si="14"/>
        <v>#N/A</v>
      </c>
      <c r="L215" t="e">
        <f t="shared" si="15"/>
        <v>#N/A</v>
      </c>
    </row>
    <row r="216" spans="1:12" x14ac:dyDescent="0.25">
      <c r="A216">
        <v>28.17</v>
      </c>
      <c r="B216">
        <v>6.5</v>
      </c>
      <c r="C216" t="s">
        <v>8</v>
      </c>
      <c r="D216" t="s">
        <v>14</v>
      </c>
      <c r="E216" t="s">
        <v>13</v>
      </c>
      <c r="F216" t="s">
        <v>11</v>
      </c>
      <c r="G216">
        <v>3</v>
      </c>
      <c r="H216">
        <v>23.074192403265801</v>
      </c>
      <c r="I216">
        <f t="shared" si="12"/>
        <v>28.17</v>
      </c>
      <c r="J216">
        <f t="shared" si="13"/>
        <v>6.5</v>
      </c>
      <c r="K216" t="e">
        <f t="shared" si="14"/>
        <v>#N/A</v>
      </c>
      <c r="L216" t="e">
        <f t="shared" si="15"/>
        <v>#N/A</v>
      </c>
    </row>
    <row r="217" spans="1:12" x14ac:dyDescent="0.25">
      <c r="A217">
        <v>12.9</v>
      </c>
      <c r="B217">
        <v>1.1000000000000001</v>
      </c>
      <c r="C217" t="s">
        <v>8</v>
      </c>
      <c r="D217" t="s">
        <v>14</v>
      </c>
      <c r="E217" t="s">
        <v>13</v>
      </c>
      <c r="F217" t="s">
        <v>11</v>
      </c>
      <c r="G217">
        <v>2</v>
      </c>
      <c r="H217">
        <v>8.5271317829457303</v>
      </c>
      <c r="I217">
        <f t="shared" si="12"/>
        <v>12.9</v>
      </c>
      <c r="J217">
        <f t="shared" si="13"/>
        <v>1.1000000000000001</v>
      </c>
      <c r="K217" t="e">
        <f t="shared" si="14"/>
        <v>#N/A</v>
      </c>
      <c r="L217" t="e">
        <f t="shared" si="15"/>
        <v>#N/A</v>
      </c>
    </row>
    <row r="218" spans="1:12" x14ac:dyDescent="0.25">
      <c r="A218">
        <v>28.15</v>
      </c>
      <c r="B218">
        <v>3</v>
      </c>
      <c r="C218" t="s">
        <v>12</v>
      </c>
      <c r="D218" t="s">
        <v>14</v>
      </c>
      <c r="E218" t="s">
        <v>13</v>
      </c>
      <c r="F218" t="s">
        <v>11</v>
      </c>
      <c r="G218">
        <v>5</v>
      </c>
      <c r="H218">
        <v>10.657193605683799</v>
      </c>
      <c r="I218" t="e">
        <f t="shared" si="12"/>
        <v>#N/A</v>
      </c>
      <c r="J218" t="e">
        <f t="shared" si="13"/>
        <v>#N/A</v>
      </c>
      <c r="K218">
        <f t="shared" si="14"/>
        <v>28.15</v>
      </c>
      <c r="L218">
        <f t="shared" si="15"/>
        <v>3</v>
      </c>
    </row>
    <row r="219" spans="1:12" x14ac:dyDescent="0.25">
      <c r="A219">
        <v>11.59</v>
      </c>
      <c r="B219">
        <v>1.5</v>
      </c>
      <c r="C219" t="s">
        <v>12</v>
      </c>
      <c r="D219" t="s">
        <v>14</v>
      </c>
      <c r="E219" t="s">
        <v>13</v>
      </c>
      <c r="F219" t="s">
        <v>11</v>
      </c>
      <c r="G219">
        <v>2</v>
      </c>
      <c r="H219">
        <v>12.942191544434801</v>
      </c>
      <c r="I219" t="e">
        <f t="shared" si="12"/>
        <v>#N/A</v>
      </c>
      <c r="J219" t="e">
        <f t="shared" si="13"/>
        <v>#N/A</v>
      </c>
      <c r="K219">
        <f t="shared" si="14"/>
        <v>11.59</v>
      </c>
      <c r="L219">
        <f t="shared" si="15"/>
        <v>1.5</v>
      </c>
    </row>
    <row r="220" spans="1:12" x14ac:dyDescent="0.25">
      <c r="A220">
        <v>7.74</v>
      </c>
      <c r="B220">
        <v>1.44</v>
      </c>
      <c r="C220" t="s">
        <v>12</v>
      </c>
      <c r="D220" t="s">
        <v>14</v>
      </c>
      <c r="E220" t="s">
        <v>13</v>
      </c>
      <c r="F220" t="s">
        <v>11</v>
      </c>
      <c r="G220">
        <v>2</v>
      </c>
      <c r="H220">
        <v>18.604651162790699</v>
      </c>
      <c r="I220" t="e">
        <f t="shared" si="12"/>
        <v>#N/A</v>
      </c>
      <c r="J220" t="e">
        <f t="shared" si="13"/>
        <v>#N/A</v>
      </c>
      <c r="K220">
        <f t="shared" si="14"/>
        <v>7.74</v>
      </c>
      <c r="L220">
        <f t="shared" si="15"/>
        <v>1.44</v>
      </c>
    </row>
    <row r="221" spans="1:12" x14ac:dyDescent="0.25">
      <c r="A221">
        <v>30.14</v>
      </c>
      <c r="B221">
        <v>3.09</v>
      </c>
      <c r="C221" t="s">
        <v>8</v>
      </c>
      <c r="D221" t="s">
        <v>14</v>
      </c>
      <c r="E221" t="s">
        <v>13</v>
      </c>
      <c r="F221" t="s">
        <v>11</v>
      </c>
      <c r="G221">
        <v>4</v>
      </c>
      <c r="H221">
        <v>10.252156602521501</v>
      </c>
      <c r="I221">
        <f t="shared" si="12"/>
        <v>30.14</v>
      </c>
      <c r="J221">
        <f t="shared" si="13"/>
        <v>3.09</v>
      </c>
      <c r="K221" t="e">
        <f t="shared" si="14"/>
        <v>#N/A</v>
      </c>
      <c r="L221" t="e">
        <f t="shared" si="15"/>
        <v>#N/A</v>
      </c>
    </row>
    <row r="222" spans="1:12" x14ac:dyDescent="0.25">
      <c r="A222">
        <v>12.16</v>
      </c>
      <c r="B222">
        <v>2.2000000000000002</v>
      </c>
      <c r="C222" t="s">
        <v>12</v>
      </c>
      <c r="D222" t="s">
        <v>14</v>
      </c>
      <c r="E222" t="s">
        <v>17</v>
      </c>
      <c r="F222" t="s">
        <v>16</v>
      </c>
      <c r="G222">
        <v>2</v>
      </c>
      <c r="H222">
        <v>18.092105263157801</v>
      </c>
      <c r="I222" t="e">
        <f t="shared" si="12"/>
        <v>#N/A</v>
      </c>
      <c r="J222" t="e">
        <f t="shared" si="13"/>
        <v>#N/A</v>
      </c>
      <c r="K222">
        <f t="shared" si="14"/>
        <v>12.16</v>
      </c>
      <c r="L222">
        <f t="shared" si="15"/>
        <v>2.2000000000000002</v>
      </c>
    </row>
    <row r="223" spans="1:12" x14ac:dyDescent="0.25">
      <c r="A223">
        <v>13.42</v>
      </c>
      <c r="B223">
        <v>3.48</v>
      </c>
      <c r="C223" t="s">
        <v>8</v>
      </c>
      <c r="D223" t="s">
        <v>14</v>
      </c>
      <c r="E223" t="s">
        <v>17</v>
      </c>
      <c r="F223" t="s">
        <v>16</v>
      </c>
      <c r="G223">
        <v>2</v>
      </c>
      <c r="H223">
        <v>25.931445603576702</v>
      </c>
      <c r="I223">
        <f t="shared" si="12"/>
        <v>13.42</v>
      </c>
      <c r="J223">
        <f t="shared" si="13"/>
        <v>3.48</v>
      </c>
      <c r="K223" t="e">
        <f t="shared" si="14"/>
        <v>#N/A</v>
      </c>
      <c r="L223" t="e">
        <f t="shared" si="15"/>
        <v>#N/A</v>
      </c>
    </row>
    <row r="224" spans="1:12" x14ac:dyDescent="0.25">
      <c r="A224">
        <v>8.58</v>
      </c>
      <c r="B224">
        <v>1.92</v>
      </c>
      <c r="C224" t="s">
        <v>12</v>
      </c>
      <c r="D224" t="s">
        <v>14</v>
      </c>
      <c r="E224" t="s">
        <v>17</v>
      </c>
      <c r="F224" t="s">
        <v>16</v>
      </c>
      <c r="G224">
        <v>1</v>
      </c>
      <c r="H224">
        <v>22.377622377622298</v>
      </c>
      <c r="I224" t="e">
        <f t="shared" si="12"/>
        <v>#N/A</v>
      </c>
      <c r="J224" t="e">
        <f t="shared" si="13"/>
        <v>#N/A</v>
      </c>
      <c r="K224">
        <f t="shared" si="14"/>
        <v>8.58</v>
      </c>
      <c r="L224">
        <f t="shared" si="15"/>
        <v>1.92</v>
      </c>
    </row>
    <row r="225" spans="1:12" x14ac:dyDescent="0.25">
      <c r="A225">
        <v>15.98</v>
      </c>
      <c r="B225">
        <v>3</v>
      </c>
      <c r="C225" t="s">
        <v>8</v>
      </c>
      <c r="D225" t="s">
        <v>9</v>
      </c>
      <c r="E225" t="s">
        <v>17</v>
      </c>
      <c r="F225" t="s">
        <v>16</v>
      </c>
      <c r="G225">
        <v>3</v>
      </c>
      <c r="H225">
        <v>18.773466833541899</v>
      </c>
      <c r="I225">
        <f t="shared" si="12"/>
        <v>15.98</v>
      </c>
      <c r="J225">
        <f t="shared" si="13"/>
        <v>3</v>
      </c>
      <c r="K225" t="e">
        <f t="shared" si="14"/>
        <v>#N/A</v>
      </c>
      <c r="L225" t="e">
        <f t="shared" si="15"/>
        <v>#N/A</v>
      </c>
    </row>
    <row r="226" spans="1:12" x14ac:dyDescent="0.25">
      <c r="A226">
        <v>13.42</v>
      </c>
      <c r="B226">
        <v>1.58</v>
      </c>
      <c r="C226" t="s">
        <v>12</v>
      </c>
      <c r="D226" t="s">
        <v>14</v>
      </c>
      <c r="E226" t="s">
        <v>17</v>
      </c>
      <c r="F226" t="s">
        <v>16</v>
      </c>
      <c r="G226">
        <v>2</v>
      </c>
      <c r="H226">
        <v>11.7734724292101</v>
      </c>
      <c r="I226" t="e">
        <f t="shared" si="12"/>
        <v>#N/A</v>
      </c>
      <c r="J226" t="e">
        <f t="shared" si="13"/>
        <v>#N/A</v>
      </c>
      <c r="K226">
        <f t="shared" si="14"/>
        <v>13.42</v>
      </c>
      <c r="L226">
        <f t="shared" si="15"/>
        <v>1.58</v>
      </c>
    </row>
    <row r="227" spans="1:12" x14ac:dyDescent="0.25">
      <c r="A227">
        <v>16.27</v>
      </c>
      <c r="B227">
        <v>2.5</v>
      </c>
      <c r="C227" t="s">
        <v>8</v>
      </c>
      <c r="D227" t="s">
        <v>14</v>
      </c>
      <c r="E227" t="s">
        <v>17</v>
      </c>
      <c r="F227" t="s">
        <v>16</v>
      </c>
      <c r="G227">
        <v>2</v>
      </c>
      <c r="H227">
        <v>15.365703749231701</v>
      </c>
      <c r="I227">
        <f t="shared" si="12"/>
        <v>16.27</v>
      </c>
      <c r="J227">
        <f t="shared" si="13"/>
        <v>2.5</v>
      </c>
      <c r="K227" t="e">
        <f t="shared" si="14"/>
        <v>#N/A</v>
      </c>
      <c r="L227" t="e">
        <f t="shared" si="15"/>
        <v>#N/A</v>
      </c>
    </row>
    <row r="228" spans="1:12" x14ac:dyDescent="0.25">
      <c r="A228">
        <v>10.09</v>
      </c>
      <c r="B228">
        <v>2</v>
      </c>
      <c r="C228" t="s">
        <v>8</v>
      </c>
      <c r="D228" t="s">
        <v>14</v>
      </c>
      <c r="E228" t="s">
        <v>17</v>
      </c>
      <c r="F228" t="s">
        <v>16</v>
      </c>
      <c r="G228">
        <v>2</v>
      </c>
      <c r="H228">
        <v>19.821605550049501</v>
      </c>
      <c r="I228">
        <f t="shared" si="12"/>
        <v>10.09</v>
      </c>
      <c r="J228">
        <f t="shared" si="13"/>
        <v>2</v>
      </c>
      <c r="K228" t="e">
        <f t="shared" si="14"/>
        <v>#N/A</v>
      </c>
      <c r="L228" t="e">
        <f t="shared" si="15"/>
        <v>#N/A</v>
      </c>
    </row>
    <row r="229" spans="1:12" x14ac:dyDescent="0.25">
      <c r="A229">
        <v>20.45</v>
      </c>
      <c r="B229">
        <v>3</v>
      </c>
      <c r="C229" t="s">
        <v>12</v>
      </c>
      <c r="D229" t="s">
        <v>9</v>
      </c>
      <c r="E229" t="s">
        <v>13</v>
      </c>
      <c r="F229" t="s">
        <v>11</v>
      </c>
      <c r="G229">
        <v>4</v>
      </c>
      <c r="H229">
        <v>14.669926650366699</v>
      </c>
      <c r="I229" t="e">
        <f t="shared" si="12"/>
        <v>#N/A</v>
      </c>
      <c r="J229" t="e">
        <f t="shared" si="13"/>
        <v>#N/A</v>
      </c>
      <c r="K229">
        <f t="shared" si="14"/>
        <v>20.45</v>
      </c>
      <c r="L229">
        <f t="shared" si="15"/>
        <v>3</v>
      </c>
    </row>
    <row r="230" spans="1:12" x14ac:dyDescent="0.25">
      <c r="A230">
        <v>13.28</v>
      </c>
      <c r="B230">
        <v>2.72</v>
      </c>
      <c r="C230" t="s">
        <v>12</v>
      </c>
      <c r="D230" t="s">
        <v>9</v>
      </c>
      <c r="E230" t="s">
        <v>13</v>
      </c>
      <c r="F230" t="s">
        <v>11</v>
      </c>
      <c r="G230">
        <v>2</v>
      </c>
      <c r="H230">
        <v>20.481927710843301</v>
      </c>
      <c r="I230" t="e">
        <f t="shared" si="12"/>
        <v>#N/A</v>
      </c>
      <c r="J230" t="e">
        <f t="shared" si="13"/>
        <v>#N/A</v>
      </c>
      <c r="K230">
        <f t="shared" si="14"/>
        <v>13.28</v>
      </c>
      <c r="L230">
        <f t="shared" si="15"/>
        <v>2.72</v>
      </c>
    </row>
    <row r="231" spans="1:12" x14ac:dyDescent="0.25">
      <c r="A231">
        <v>22.12</v>
      </c>
      <c r="B231">
        <v>2.88</v>
      </c>
      <c r="C231" t="s">
        <v>8</v>
      </c>
      <c r="D231" t="s">
        <v>14</v>
      </c>
      <c r="E231" t="s">
        <v>13</v>
      </c>
      <c r="F231" t="s">
        <v>11</v>
      </c>
      <c r="G231">
        <v>2</v>
      </c>
      <c r="H231">
        <v>13.0198915009041</v>
      </c>
      <c r="I231">
        <f t="shared" si="12"/>
        <v>22.12</v>
      </c>
      <c r="J231">
        <f t="shared" si="13"/>
        <v>2.88</v>
      </c>
      <c r="K231" t="e">
        <f t="shared" si="14"/>
        <v>#N/A</v>
      </c>
      <c r="L231" t="e">
        <f t="shared" si="15"/>
        <v>#N/A</v>
      </c>
    </row>
    <row r="232" spans="1:12" x14ac:dyDescent="0.25">
      <c r="A232">
        <v>24.01</v>
      </c>
      <c r="B232">
        <v>2</v>
      </c>
      <c r="C232" t="s">
        <v>12</v>
      </c>
      <c r="D232" t="s">
        <v>14</v>
      </c>
      <c r="E232" t="s">
        <v>13</v>
      </c>
      <c r="F232" t="s">
        <v>11</v>
      </c>
      <c r="G232">
        <v>4</v>
      </c>
      <c r="H232">
        <v>8.3298625572678002</v>
      </c>
      <c r="I232" t="e">
        <f t="shared" si="12"/>
        <v>#N/A</v>
      </c>
      <c r="J232" t="e">
        <f t="shared" si="13"/>
        <v>#N/A</v>
      </c>
      <c r="K232">
        <f t="shared" si="14"/>
        <v>24.01</v>
      </c>
      <c r="L232">
        <f t="shared" si="15"/>
        <v>2</v>
      </c>
    </row>
    <row r="233" spans="1:12" x14ac:dyDescent="0.25">
      <c r="A233">
        <v>15.69</v>
      </c>
      <c r="B233">
        <v>3</v>
      </c>
      <c r="C233" t="s">
        <v>12</v>
      </c>
      <c r="D233" t="s">
        <v>14</v>
      </c>
      <c r="E233" t="s">
        <v>13</v>
      </c>
      <c r="F233" t="s">
        <v>11</v>
      </c>
      <c r="G233">
        <v>3</v>
      </c>
      <c r="H233">
        <v>19.1204588910133</v>
      </c>
      <c r="I233" t="e">
        <f t="shared" si="12"/>
        <v>#N/A</v>
      </c>
      <c r="J233" t="e">
        <f t="shared" si="13"/>
        <v>#N/A</v>
      </c>
      <c r="K233">
        <f t="shared" si="14"/>
        <v>15.69</v>
      </c>
      <c r="L233">
        <f t="shared" si="15"/>
        <v>3</v>
      </c>
    </row>
    <row r="234" spans="1:12" x14ac:dyDescent="0.25">
      <c r="A234">
        <v>11.61</v>
      </c>
      <c r="B234">
        <v>3.39</v>
      </c>
      <c r="C234" t="s">
        <v>12</v>
      </c>
      <c r="D234" t="s">
        <v>9</v>
      </c>
      <c r="E234" t="s">
        <v>13</v>
      </c>
      <c r="F234" t="s">
        <v>11</v>
      </c>
      <c r="G234">
        <v>2</v>
      </c>
      <c r="H234">
        <v>29.198966408268699</v>
      </c>
      <c r="I234" t="e">
        <f t="shared" si="12"/>
        <v>#N/A</v>
      </c>
      <c r="J234" t="e">
        <f t="shared" si="13"/>
        <v>#N/A</v>
      </c>
      <c r="K234">
        <f t="shared" si="14"/>
        <v>11.61</v>
      </c>
      <c r="L234">
        <f t="shared" si="15"/>
        <v>3.39</v>
      </c>
    </row>
    <row r="235" spans="1:12" x14ac:dyDescent="0.25">
      <c r="A235">
        <v>10.77</v>
      </c>
      <c r="B235">
        <v>1.47</v>
      </c>
      <c r="C235" t="s">
        <v>12</v>
      </c>
      <c r="D235" t="s">
        <v>9</v>
      </c>
      <c r="E235" t="s">
        <v>13</v>
      </c>
      <c r="F235" t="s">
        <v>11</v>
      </c>
      <c r="G235">
        <v>2</v>
      </c>
      <c r="H235">
        <v>13.649025069637799</v>
      </c>
      <c r="I235" t="e">
        <f t="shared" si="12"/>
        <v>#N/A</v>
      </c>
      <c r="J235" t="e">
        <f t="shared" si="13"/>
        <v>#N/A</v>
      </c>
      <c r="K235">
        <f t="shared" si="14"/>
        <v>10.77</v>
      </c>
      <c r="L235">
        <f t="shared" si="15"/>
        <v>1.47</v>
      </c>
    </row>
    <row r="236" spans="1:12" x14ac:dyDescent="0.25">
      <c r="A236">
        <v>15.53</v>
      </c>
      <c r="B236">
        <v>3</v>
      </c>
      <c r="C236" t="s">
        <v>12</v>
      </c>
      <c r="D236" t="s">
        <v>14</v>
      </c>
      <c r="E236" t="s">
        <v>13</v>
      </c>
      <c r="F236" t="s">
        <v>11</v>
      </c>
      <c r="G236">
        <v>2</v>
      </c>
      <c r="H236">
        <v>19.317450096587201</v>
      </c>
      <c r="I236" t="e">
        <f t="shared" si="12"/>
        <v>#N/A</v>
      </c>
      <c r="J236" t="e">
        <f t="shared" si="13"/>
        <v>#N/A</v>
      </c>
      <c r="K236">
        <f t="shared" si="14"/>
        <v>15.53</v>
      </c>
      <c r="L236">
        <f t="shared" si="15"/>
        <v>3</v>
      </c>
    </row>
    <row r="237" spans="1:12" x14ac:dyDescent="0.25">
      <c r="A237">
        <v>10.07</v>
      </c>
      <c r="B237">
        <v>1.25</v>
      </c>
      <c r="C237" t="s">
        <v>12</v>
      </c>
      <c r="D237" t="s">
        <v>9</v>
      </c>
      <c r="E237" t="s">
        <v>13</v>
      </c>
      <c r="F237" t="s">
        <v>11</v>
      </c>
      <c r="G237">
        <v>2</v>
      </c>
      <c r="H237">
        <v>12.413108242303799</v>
      </c>
      <c r="I237" t="e">
        <f t="shared" si="12"/>
        <v>#N/A</v>
      </c>
      <c r="J237" t="e">
        <f t="shared" si="13"/>
        <v>#N/A</v>
      </c>
      <c r="K237">
        <f t="shared" si="14"/>
        <v>10.07</v>
      </c>
      <c r="L237">
        <f t="shared" si="15"/>
        <v>1.25</v>
      </c>
    </row>
    <row r="238" spans="1:12" x14ac:dyDescent="0.25">
      <c r="A238">
        <v>12.6</v>
      </c>
      <c r="B238">
        <v>1</v>
      </c>
      <c r="C238" t="s">
        <v>12</v>
      </c>
      <c r="D238" t="s">
        <v>14</v>
      </c>
      <c r="E238" t="s">
        <v>13</v>
      </c>
      <c r="F238" t="s">
        <v>11</v>
      </c>
      <c r="G238">
        <v>2</v>
      </c>
      <c r="H238">
        <v>7.9365079365079296</v>
      </c>
      <c r="I238" t="e">
        <f t="shared" si="12"/>
        <v>#N/A</v>
      </c>
      <c r="J238" t="e">
        <f t="shared" si="13"/>
        <v>#N/A</v>
      </c>
      <c r="K238">
        <f t="shared" si="14"/>
        <v>12.6</v>
      </c>
      <c r="L238">
        <f t="shared" si="15"/>
        <v>1</v>
      </c>
    </row>
    <row r="239" spans="1:12" x14ac:dyDescent="0.25">
      <c r="A239">
        <v>32.83</v>
      </c>
      <c r="B239">
        <v>1.17</v>
      </c>
      <c r="C239" t="s">
        <v>12</v>
      </c>
      <c r="D239" t="s">
        <v>14</v>
      </c>
      <c r="E239" t="s">
        <v>13</v>
      </c>
      <c r="F239" t="s">
        <v>11</v>
      </c>
      <c r="G239">
        <v>2</v>
      </c>
      <c r="H239">
        <v>3.5638135851355401</v>
      </c>
      <c r="I239" t="e">
        <f t="shared" si="12"/>
        <v>#N/A</v>
      </c>
      <c r="J239" t="e">
        <f t="shared" si="13"/>
        <v>#N/A</v>
      </c>
      <c r="K239">
        <f t="shared" si="14"/>
        <v>32.83</v>
      </c>
      <c r="L239">
        <f t="shared" si="15"/>
        <v>1.17</v>
      </c>
    </row>
    <row r="240" spans="1:12" x14ac:dyDescent="0.25">
      <c r="A240">
        <v>35.83</v>
      </c>
      <c r="B240">
        <v>4.67</v>
      </c>
      <c r="C240" t="s">
        <v>8</v>
      </c>
      <c r="D240" t="s">
        <v>9</v>
      </c>
      <c r="E240" t="s">
        <v>13</v>
      </c>
      <c r="F240" t="s">
        <v>11</v>
      </c>
      <c r="G240">
        <v>3</v>
      </c>
      <c r="H240">
        <v>13.03377058331</v>
      </c>
      <c r="I240">
        <f t="shared" si="12"/>
        <v>35.83</v>
      </c>
      <c r="J240">
        <f t="shared" si="13"/>
        <v>4.67</v>
      </c>
      <c r="K240" t="e">
        <f t="shared" si="14"/>
        <v>#N/A</v>
      </c>
      <c r="L240" t="e">
        <f t="shared" si="15"/>
        <v>#N/A</v>
      </c>
    </row>
    <row r="241" spans="1:12" x14ac:dyDescent="0.25">
      <c r="A241">
        <v>29.03</v>
      </c>
      <c r="B241">
        <v>5.92</v>
      </c>
      <c r="C241" t="s">
        <v>12</v>
      </c>
      <c r="D241" t="s">
        <v>9</v>
      </c>
      <c r="E241" t="s">
        <v>13</v>
      </c>
      <c r="F241" t="s">
        <v>11</v>
      </c>
      <c r="G241">
        <v>3</v>
      </c>
      <c r="H241">
        <v>20.392697209782899</v>
      </c>
      <c r="I241" t="e">
        <f t="shared" si="12"/>
        <v>#N/A</v>
      </c>
      <c r="J241" t="e">
        <f t="shared" si="13"/>
        <v>#N/A</v>
      </c>
      <c r="K241">
        <f t="shared" si="14"/>
        <v>29.03</v>
      </c>
      <c r="L241">
        <f t="shared" si="15"/>
        <v>5.92</v>
      </c>
    </row>
    <row r="242" spans="1:12" x14ac:dyDescent="0.25">
      <c r="A242">
        <v>27.18</v>
      </c>
      <c r="B242">
        <v>2</v>
      </c>
      <c r="C242" t="s">
        <v>8</v>
      </c>
      <c r="D242" t="s">
        <v>14</v>
      </c>
      <c r="E242" t="s">
        <v>13</v>
      </c>
      <c r="F242" t="s">
        <v>11</v>
      </c>
      <c r="G242">
        <v>2</v>
      </c>
      <c r="H242">
        <v>7.3583517292126501</v>
      </c>
      <c r="I242">
        <f t="shared" si="12"/>
        <v>27.18</v>
      </c>
      <c r="J242">
        <f t="shared" si="13"/>
        <v>2</v>
      </c>
      <c r="K242" t="e">
        <f t="shared" si="14"/>
        <v>#N/A</v>
      </c>
      <c r="L242" t="e">
        <f t="shared" si="15"/>
        <v>#N/A</v>
      </c>
    </row>
    <row r="243" spans="1:12" x14ac:dyDescent="0.25">
      <c r="A243">
        <v>22.67</v>
      </c>
      <c r="B243">
        <v>2</v>
      </c>
      <c r="C243" t="s">
        <v>12</v>
      </c>
      <c r="D243" t="s">
        <v>14</v>
      </c>
      <c r="E243" t="s">
        <v>13</v>
      </c>
      <c r="F243" t="s">
        <v>11</v>
      </c>
      <c r="G243">
        <v>2</v>
      </c>
      <c r="H243">
        <v>8.8222320247022399</v>
      </c>
      <c r="I243" t="e">
        <f t="shared" si="12"/>
        <v>#N/A</v>
      </c>
      <c r="J243" t="e">
        <f t="shared" si="13"/>
        <v>#N/A</v>
      </c>
      <c r="K243">
        <f t="shared" si="14"/>
        <v>22.67</v>
      </c>
      <c r="L243">
        <f t="shared" si="15"/>
        <v>2</v>
      </c>
    </row>
    <row r="244" spans="1:12" x14ac:dyDescent="0.25">
      <c r="A244">
        <v>17.82</v>
      </c>
      <c r="B244">
        <v>1.75</v>
      </c>
      <c r="C244" t="s">
        <v>12</v>
      </c>
      <c r="D244" t="s">
        <v>9</v>
      </c>
      <c r="E244" t="s">
        <v>13</v>
      </c>
      <c r="F244" t="s">
        <v>11</v>
      </c>
      <c r="G244">
        <v>2</v>
      </c>
      <c r="H244">
        <v>9.8204264870931492</v>
      </c>
      <c r="I244" t="e">
        <f t="shared" si="12"/>
        <v>#N/A</v>
      </c>
      <c r="J244" t="e">
        <f t="shared" si="13"/>
        <v>#N/A</v>
      </c>
      <c r="K244">
        <f t="shared" si="14"/>
        <v>17.82</v>
      </c>
      <c r="L244">
        <f t="shared" si="15"/>
        <v>1.75</v>
      </c>
    </row>
    <row r="245" spans="1:12" x14ac:dyDescent="0.25">
      <c r="A245">
        <v>18.78</v>
      </c>
      <c r="B245">
        <v>3</v>
      </c>
      <c r="C245" t="s">
        <v>8</v>
      </c>
      <c r="D245" t="s">
        <v>9</v>
      </c>
      <c r="E245" t="s">
        <v>15</v>
      </c>
      <c r="F245" t="s">
        <v>11</v>
      </c>
      <c r="G245">
        <v>2</v>
      </c>
      <c r="H245">
        <v>15.9744408945686</v>
      </c>
      <c r="I245">
        <f t="shared" si="12"/>
        <v>18.78</v>
      </c>
      <c r="J245">
        <f t="shared" si="13"/>
        <v>3</v>
      </c>
      <c r="K245" t="e">
        <f t="shared" si="14"/>
        <v>#N/A</v>
      </c>
      <c r="L245" t="e">
        <f t="shared" si="15"/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5"/>
  <sheetViews>
    <sheetView zoomScaleNormal="100" workbookViewId="0">
      <selection activeCell="L11" sqref="L11"/>
    </sheetView>
  </sheetViews>
  <sheetFormatPr defaultRowHeight="15" x14ac:dyDescent="0.25"/>
  <cols>
    <col min="8" max="8" width="1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16.989999999999998</v>
      </c>
      <c r="B2">
        <v>1.01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5.9446733372572096</v>
      </c>
    </row>
    <row r="3" spans="1:8" x14ac:dyDescent="0.25">
      <c r="A3">
        <v>10.34</v>
      </c>
      <c r="B3">
        <v>1.66</v>
      </c>
      <c r="C3" t="s">
        <v>12</v>
      </c>
      <c r="D3" t="s">
        <v>9</v>
      </c>
      <c r="E3" t="s">
        <v>10</v>
      </c>
      <c r="F3" t="s">
        <v>11</v>
      </c>
      <c r="G3">
        <v>3</v>
      </c>
      <c r="H3">
        <v>16.054158607350001</v>
      </c>
    </row>
    <row r="4" spans="1:8" x14ac:dyDescent="0.25">
      <c r="A4">
        <v>21.01</v>
      </c>
      <c r="B4">
        <v>3.5</v>
      </c>
      <c r="C4" t="s">
        <v>12</v>
      </c>
      <c r="D4" t="s">
        <v>9</v>
      </c>
      <c r="E4" t="s">
        <v>10</v>
      </c>
      <c r="F4" t="s">
        <v>11</v>
      </c>
      <c r="G4">
        <v>3</v>
      </c>
      <c r="H4">
        <v>16.658733936220798</v>
      </c>
    </row>
    <row r="5" spans="1:8" x14ac:dyDescent="0.25">
      <c r="A5">
        <v>23.68</v>
      </c>
      <c r="B5">
        <v>3.31</v>
      </c>
      <c r="C5" t="s">
        <v>12</v>
      </c>
      <c r="D5" t="s">
        <v>9</v>
      </c>
      <c r="E5" t="s">
        <v>10</v>
      </c>
      <c r="F5" t="s">
        <v>11</v>
      </c>
      <c r="G5">
        <v>2</v>
      </c>
      <c r="H5">
        <v>13.978040540540499</v>
      </c>
    </row>
    <row r="6" spans="1:8" x14ac:dyDescent="0.25">
      <c r="A6">
        <v>24.59</v>
      </c>
      <c r="B6">
        <v>3.61</v>
      </c>
      <c r="C6" t="s">
        <v>8</v>
      </c>
      <c r="D6" t="s">
        <v>9</v>
      </c>
      <c r="E6" t="s">
        <v>10</v>
      </c>
      <c r="F6" t="s">
        <v>11</v>
      </c>
      <c r="G6">
        <v>4</v>
      </c>
      <c r="H6">
        <v>14.6807645384302</v>
      </c>
    </row>
    <row r="7" spans="1:8" x14ac:dyDescent="0.25">
      <c r="A7">
        <v>25.29</v>
      </c>
      <c r="B7">
        <v>4.71</v>
      </c>
      <c r="C7" t="s">
        <v>12</v>
      </c>
      <c r="D7" t="s">
        <v>9</v>
      </c>
      <c r="E7" t="s">
        <v>10</v>
      </c>
      <c r="F7" t="s">
        <v>11</v>
      </c>
      <c r="G7">
        <v>4</v>
      </c>
      <c r="H7">
        <v>18.623962040332099</v>
      </c>
    </row>
    <row r="8" spans="1:8" x14ac:dyDescent="0.25">
      <c r="A8">
        <v>8.77</v>
      </c>
      <c r="B8">
        <v>2</v>
      </c>
      <c r="C8" t="s">
        <v>12</v>
      </c>
      <c r="D8" t="s">
        <v>9</v>
      </c>
      <c r="E8" t="s">
        <v>10</v>
      </c>
      <c r="F8" t="s">
        <v>11</v>
      </c>
      <c r="G8">
        <v>2</v>
      </c>
      <c r="H8">
        <v>22.8050171037628</v>
      </c>
    </row>
    <row r="9" spans="1:8" x14ac:dyDescent="0.25">
      <c r="A9">
        <v>26.88</v>
      </c>
      <c r="B9">
        <v>3.12</v>
      </c>
      <c r="C9" t="s">
        <v>12</v>
      </c>
      <c r="D9" t="s">
        <v>9</v>
      </c>
      <c r="E9" t="s">
        <v>10</v>
      </c>
      <c r="F9" t="s">
        <v>11</v>
      </c>
      <c r="G9">
        <v>4</v>
      </c>
      <c r="H9">
        <v>11.607142857142801</v>
      </c>
    </row>
    <row r="10" spans="1:8" x14ac:dyDescent="0.25">
      <c r="A10">
        <v>15.04</v>
      </c>
      <c r="B10">
        <v>1.96</v>
      </c>
      <c r="C10" t="s">
        <v>12</v>
      </c>
      <c r="D10" t="s">
        <v>9</v>
      </c>
      <c r="E10" t="s">
        <v>10</v>
      </c>
      <c r="F10" t="s">
        <v>11</v>
      </c>
      <c r="G10">
        <v>2</v>
      </c>
      <c r="H10">
        <v>13.031914893617</v>
      </c>
    </row>
    <row r="11" spans="1:8" x14ac:dyDescent="0.25">
      <c r="A11">
        <v>14.78</v>
      </c>
      <c r="B11">
        <v>3.23</v>
      </c>
      <c r="C11" t="s">
        <v>12</v>
      </c>
      <c r="D11" t="s">
        <v>9</v>
      </c>
      <c r="E11" t="s">
        <v>10</v>
      </c>
      <c r="F11" t="s">
        <v>11</v>
      </c>
      <c r="G11">
        <v>2</v>
      </c>
      <c r="H11">
        <v>21.8538565629228</v>
      </c>
    </row>
    <row r="12" spans="1:8" x14ac:dyDescent="0.25">
      <c r="A12">
        <v>10.27</v>
      </c>
      <c r="B12">
        <v>1.71</v>
      </c>
      <c r="C12" t="s">
        <v>12</v>
      </c>
      <c r="D12" t="s">
        <v>9</v>
      </c>
      <c r="E12" t="s">
        <v>10</v>
      </c>
      <c r="F12" t="s">
        <v>11</v>
      </c>
      <c r="G12">
        <v>2</v>
      </c>
      <c r="H12">
        <v>16.650438169425499</v>
      </c>
    </row>
    <row r="13" spans="1:8" x14ac:dyDescent="0.25">
      <c r="A13">
        <v>35.26</v>
      </c>
      <c r="B13">
        <v>5</v>
      </c>
      <c r="C13" t="s">
        <v>8</v>
      </c>
      <c r="D13" t="s">
        <v>9</v>
      </c>
      <c r="E13" t="s">
        <v>10</v>
      </c>
      <c r="F13" t="s">
        <v>11</v>
      </c>
      <c r="G13">
        <v>4</v>
      </c>
      <c r="H13">
        <v>14.1803743618831</v>
      </c>
    </row>
    <row r="14" spans="1:8" x14ac:dyDescent="0.25">
      <c r="A14">
        <v>15.42</v>
      </c>
      <c r="B14">
        <v>1.57</v>
      </c>
      <c r="C14" t="s">
        <v>12</v>
      </c>
      <c r="D14" t="s">
        <v>9</v>
      </c>
      <c r="E14" t="s">
        <v>10</v>
      </c>
      <c r="F14" t="s">
        <v>11</v>
      </c>
      <c r="G14">
        <v>2</v>
      </c>
      <c r="H14">
        <v>10.1815823605706</v>
      </c>
    </row>
    <row r="15" spans="1:8" x14ac:dyDescent="0.25">
      <c r="A15">
        <v>18.43</v>
      </c>
      <c r="B15">
        <v>3</v>
      </c>
      <c r="C15" t="s">
        <v>12</v>
      </c>
      <c r="D15" t="s">
        <v>9</v>
      </c>
      <c r="E15" t="s">
        <v>10</v>
      </c>
      <c r="F15" t="s">
        <v>11</v>
      </c>
      <c r="G15">
        <v>4</v>
      </c>
      <c r="H15">
        <v>16.277807921866501</v>
      </c>
    </row>
    <row r="16" spans="1:8" x14ac:dyDescent="0.25">
      <c r="A16">
        <v>14.83</v>
      </c>
      <c r="B16">
        <v>3.02</v>
      </c>
      <c r="C16" t="s">
        <v>8</v>
      </c>
      <c r="D16" t="s">
        <v>9</v>
      </c>
      <c r="E16" t="s">
        <v>10</v>
      </c>
      <c r="F16" t="s">
        <v>11</v>
      </c>
      <c r="G16">
        <v>2</v>
      </c>
      <c r="H16">
        <v>20.364126770060601</v>
      </c>
    </row>
    <row r="17" spans="1:8" x14ac:dyDescent="0.25">
      <c r="A17">
        <v>21.58</v>
      </c>
      <c r="B17">
        <v>3.92</v>
      </c>
      <c r="C17" t="s">
        <v>12</v>
      </c>
      <c r="D17" t="s">
        <v>9</v>
      </c>
      <c r="E17" t="s">
        <v>10</v>
      </c>
      <c r="F17" t="s">
        <v>11</v>
      </c>
      <c r="G17">
        <v>2</v>
      </c>
      <c r="H17">
        <v>18.164967562557901</v>
      </c>
    </row>
    <row r="18" spans="1:8" x14ac:dyDescent="0.25">
      <c r="A18">
        <v>10.33</v>
      </c>
      <c r="B18">
        <v>1.67</v>
      </c>
      <c r="C18" t="s">
        <v>8</v>
      </c>
      <c r="D18" t="s">
        <v>9</v>
      </c>
      <c r="E18" t="s">
        <v>10</v>
      </c>
      <c r="F18" t="s">
        <v>11</v>
      </c>
      <c r="G18">
        <v>3</v>
      </c>
      <c r="H18">
        <v>16.1665053242981</v>
      </c>
    </row>
    <row r="19" spans="1:8" x14ac:dyDescent="0.25">
      <c r="A19">
        <v>16.29</v>
      </c>
      <c r="B19">
        <v>3.71</v>
      </c>
      <c r="C19" t="s">
        <v>12</v>
      </c>
      <c r="D19" t="s">
        <v>9</v>
      </c>
      <c r="E19" t="s">
        <v>10</v>
      </c>
      <c r="F19" t="s">
        <v>11</v>
      </c>
      <c r="G19">
        <v>3</v>
      </c>
      <c r="H19">
        <v>22.7747084100675</v>
      </c>
    </row>
    <row r="20" spans="1:8" x14ac:dyDescent="0.25">
      <c r="A20">
        <v>16.97</v>
      </c>
      <c r="B20">
        <v>3.5</v>
      </c>
      <c r="C20" t="s">
        <v>8</v>
      </c>
      <c r="D20" t="s">
        <v>9</v>
      </c>
      <c r="E20" t="s">
        <v>10</v>
      </c>
      <c r="F20" t="s">
        <v>11</v>
      </c>
      <c r="G20">
        <v>3</v>
      </c>
      <c r="H20">
        <v>20.624631703005299</v>
      </c>
    </row>
    <row r="21" spans="1:8" x14ac:dyDescent="0.25">
      <c r="A21">
        <v>20.65</v>
      </c>
      <c r="B21">
        <v>3.35</v>
      </c>
      <c r="C21" t="s">
        <v>12</v>
      </c>
      <c r="D21" t="s">
        <v>9</v>
      </c>
      <c r="E21" t="s">
        <v>13</v>
      </c>
      <c r="F21" t="s">
        <v>11</v>
      </c>
      <c r="G21">
        <v>3</v>
      </c>
      <c r="H21">
        <v>16.222760290556899</v>
      </c>
    </row>
    <row r="22" spans="1:8" x14ac:dyDescent="0.25">
      <c r="A22">
        <v>17.920000000000002</v>
      </c>
      <c r="B22">
        <v>4.08</v>
      </c>
      <c r="C22" t="s">
        <v>12</v>
      </c>
      <c r="D22" t="s">
        <v>9</v>
      </c>
      <c r="E22" t="s">
        <v>13</v>
      </c>
      <c r="F22" t="s">
        <v>11</v>
      </c>
      <c r="G22">
        <v>2</v>
      </c>
      <c r="H22">
        <v>22.7678571428571</v>
      </c>
    </row>
    <row r="23" spans="1:8" x14ac:dyDescent="0.25">
      <c r="A23">
        <v>20.29</v>
      </c>
      <c r="B23">
        <v>2.75</v>
      </c>
      <c r="C23" t="s">
        <v>8</v>
      </c>
      <c r="D23" t="s">
        <v>9</v>
      </c>
      <c r="E23" t="s">
        <v>13</v>
      </c>
      <c r="F23" t="s">
        <v>11</v>
      </c>
      <c r="G23">
        <v>2</v>
      </c>
      <c r="H23">
        <v>13.5534746180384</v>
      </c>
    </row>
    <row r="24" spans="1:8" x14ac:dyDescent="0.25">
      <c r="A24">
        <v>15.77</v>
      </c>
      <c r="B24">
        <v>2.23</v>
      </c>
      <c r="C24" t="s">
        <v>8</v>
      </c>
      <c r="D24" t="s">
        <v>9</v>
      </c>
      <c r="E24" t="s">
        <v>13</v>
      </c>
      <c r="F24" t="s">
        <v>11</v>
      </c>
      <c r="G24">
        <v>2</v>
      </c>
      <c r="H24">
        <v>14.1407736207989</v>
      </c>
    </row>
    <row r="25" spans="1:8" x14ac:dyDescent="0.25">
      <c r="A25">
        <v>39.42</v>
      </c>
      <c r="B25">
        <v>7.58</v>
      </c>
      <c r="C25" t="s">
        <v>12</v>
      </c>
      <c r="D25" t="s">
        <v>9</v>
      </c>
      <c r="E25" t="s">
        <v>13</v>
      </c>
      <c r="F25" t="s">
        <v>11</v>
      </c>
      <c r="G25">
        <v>4</v>
      </c>
      <c r="H25">
        <v>19.228817858954798</v>
      </c>
    </row>
    <row r="26" spans="1:8" x14ac:dyDescent="0.25">
      <c r="A26">
        <v>19.82</v>
      </c>
      <c r="B26">
        <v>3.18</v>
      </c>
      <c r="C26" t="s">
        <v>12</v>
      </c>
      <c r="D26" t="s">
        <v>9</v>
      </c>
      <c r="E26" t="s">
        <v>13</v>
      </c>
      <c r="F26" t="s">
        <v>11</v>
      </c>
      <c r="G26">
        <v>2</v>
      </c>
      <c r="H26">
        <v>16.044399596367299</v>
      </c>
    </row>
    <row r="27" spans="1:8" x14ac:dyDescent="0.25">
      <c r="A27">
        <v>17.809999999999999</v>
      </c>
      <c r="B27">
        <v>2.34</v>
      </c>
      <c r="C27" t="s">
        <v>12</v>
      </c>
      <c r="D27" t="s">
        <v>9</v>
      </c>
      <c r="E27" t="s">
        <v>13</v>
      </c>
      <c r="F27" t="s">
        <v>11</v>
      </c>
      <c r="G27">
        <v>4</v>
      </c>
      <c r="H27">
        <v>13.1386861313868</v>
      </c>
    </row>
    <row r="28" spans="1:8" x14ac:dyDescent="0.25">
      <c r="A28">
        <v>13.37</v>
      </c>
      <c r="B28">
        <v>2</v>
      </c>
      <c r="C28" t="s">
        <v>12</v>
      </c>
      <c r="D28" t="s">
        <v>9</v>
      </c>
      <c r="E28" t="s">
        <v>13</v>
      </c>
      <c r="F28" t="s">
        <v>11</v>
      </c>
      <c r="G28">
        <v>2</v>
      </c>
      <c r="H28">
        <v>14.958863126402299</v>
      </c>
    </row>
    <row r="29" spans="1:8" x14ac:dyDescent="0.25">
      <c r="A29">
        <v>12.69</v>
      </c>
      <c r="B29">
        <v>2</v>
      </c>
      <c r="C29" t="s">
        <v>12</v>
      </c>
      <c r="D29" t="s">
        <v>9</v>
      </c>
      <c r="E29" t="s">
        <v>13</v>
      </c>
      <c r="F29" t="s">
        <v>11</v>
      </c>
      <c r="G29">
        <v>2</v>
      </c>
      <c r="H29">
        <v>15.7604412923561</v>
      </c>
    </row>
    <row r="30" spans="1:8" x14ac:dyDescent="0.25">
      <c r="A30">
        <v>21.7</v>
      </c>
      <c r="B30">
        <v>4.3</v>
      </c>
      <c r="C30" t="s">
        <v>12</v>
      </c>
      <c r="D30" t="s">
        <v>9</v>
      </c>
      <c r="E30" t="s">
        <v>13</v>
      </c>
      <c r="F30" t="s">
        <v>11</v>
      </c>
      <c r="G30">
        <v>2</v>
      </c>
      <c r="H30">
        <v>19.8156682027649</v>
      </c>
    </row>
    <row r="31" spans="1:8" x14ac:dyDescent="0.25">
      <c r="A31">
        <v>19.649999999999999</v>
      </c>
      <c r="B31">
        <v>3</v>
      </c>
      <c r="C31" t="s">
        <v>8</v>
      </c>
      <c r="D31" t="s">
        <v>9</v>
      </c>
      <c r="E31" t="s">
        <v>13</v>
      </c>
      <c r="F31" t="s">
        <v>11</v>
      </c>
      <c r="G31">
        <v>2</v>
      </c>
      <c r="H31">
        <v>15.267175572518999</v>
      </c>
    </row>
    <row r="32" spans="1:8" x14ac:dyDescent="0.25">
      <c r="A32">
        <v>9.5500000000000007</v>
      </c>
      <c r="B32">
        <v>1.45</v>
      </c>
      <c r="C32" t="s">
        <v>12</v>
      </c>
      <c r="D32" t="s">
        <v>9</v>
      </c>
      <c r="E32" t="s">
        <v>13</v>
      </c>
      <c r="F32" t="s">
        <v>11</v>
      </c>
      <c r="G32">
        <v>2</v>
      </c>
      <c r="H32">
        <v>15.183246073298401</v>
      </c>
    </row>
    <row r="33" spans="1:8" x14ac:dyDescent="0.25">
      <c r="A33">
        <v>18.350000000000001</v>
      </c>
      <c r="B33">
        <v>2.5</v>
      </c>
      <c r="C33" t="s">
        <v>12</v>
      </c>
      <c r="D33" t="s">
        <v>9</v>
      </c>
      <c r="E33" t="s">
        <v>13</v>
      </c>
      <c r="F33" t="s">
        <v>11</v>
      </c>
      <c r="G33">
        <v>4</v>
      </c>
      <c r="H33">
        <v>13.623978201634801</v>
      </c>
    </row>
    <row r="34" spans="1:8" x14ac:dyDescent="0.25">
      <c r="A34">
        <v>15.06</v>
      </c>
      <c r="B34">
        <v>3</v>
      </c>
      <c r="C34" t="s">
        <v>8</v>
      </c>
      <c r="D34" t="s">
        <v>9</v>
      </c>
      <c r="E34" t="s">
        <v>13</v>
      </c>
      <c r="F34" t="s">
        <v>11</v>
      </c>
      <c r="G34">
        <v>2</v>
      </c>
      <c r="H34">
        <v>19.920318725099602</v>
      </c>
    </row>
    <row r="35" spans="1:8" x14ac:dyDescent="0.25">
      <c r="A35">
        <v>20.69</v>
      </c>
      <c r="B35">
        <v>2.4500000000000002</v>
      </c>
      <c r="C35" t="s">
        <v>8</v>
      </c>
      <c r="D35" t="s">
        <v>9</v>
      </c>
      <c r="E35" t="s">
        <v>13</v>
      </c>
      <c r="F35" t="s">
        <v>11</v>
      </c>
      <c r="G35">
        <v>4</v>
      </c>
      <c r="H35">
        <v>11.8414693088448</v>
      </c>
    </row>
    <row r="36" spans="1:8" x14ac:dyDescent="0.25">
      <c r="A36">
        <v>17.78</v>
      </c>
      <c r="B36">
        <v>3.27</v>
      </c>
      <c r="C36" t="s">
        <v>12</v>
      </c>
      <c r="D36" t="s">
        <v>9</v>
      </c>
      <c r="E36" t="s">
        <v>13</v>
      </c>
      <c r="F36" t="s">
        <v>11</v>
      </c>
      <c r="G36">
        <v>2</v>
      </c>
      <c r="H36">
        <v>18.391451068616401</v>
      </c>
    </row>
    <row r="37" spans="1:8" x14ac:dyDescent="0.25">
      <c r="A37">
        <v>24.06</v>
      </c>
      <c r="B37">
        <v>3.6</v>
      </c>
      <c r="C37" t="s">
        <v>12</v>
      </c>
      <c r="D37" t="s">
        <v>9</v>
      </c>
      <c r="E37" t="s">
        <v>13</v>
      </c>
      <c r="F37" t="s">
        <v>11</v>
      </c>
      <c r="G37">
        <v>3</v>
      </c>
      <c r="H37">
        <v>14.962593516209401</v>
      </c>
    </row>
    <row r="38" spans="1:8" x14ac:dyDescent="0.25">
      <c r="A38">
        <v>16.309999999999999</v>
      </c>
      <c r="B38">
        <v>2</v>
      </c>
      <c r="C38" t="s">
        <v>12</v>
      </c>
      <c r="D38" t="s">
        <v>9</v>
      </c>
      <c r="E38" t="s">
        <v>13</v>
      </c>
      <c r="F38" t="s">
        <v>11</v>
      </c>
      <c r="G38">
        <v>3</v>
      </c>
      <c r="H38">
        <v>12.262415695892001</v>
      </c>
    </row>
    <row r="39" spans="1:8" x14ac:dyDescent="0.25">
      <c r="A39">
        <v>16.93</v>
      </c>
      <c r="B39">
        <v>3.07</v>
      </c>
      <c r="C39" t="s">
        <v>8</v>
      </c>
      <c r="D39" t="s">
        <v>9</v>
      </c>
      <c r="E39" t="s">
        <v>13</v>
      </c>
      <c r="F39" t="s">
        <v>11</v>
      </c>
      <c r="G39">
        <v>3</v>
      </c>
      <c r="H39">
        <v>18.1334908446544</v>
      </c>
    </row>
    <row r="40" spans="1:8" x14ac:dyDescent="0.25">
      <c r="A40">
        <v>18.690000000000001</v>
      </c>
      <c r="B40">
        <v>2.31</v>
      </c>
      <c r="C40" t="s">
        <v>12</v>
      </c>
      <c r="D40" t="s">
        <v>9</v>
      </c>
      <c r="E40" t="s">
        <v>13</v>
      </c>
      <c r="F40" t="s">
        <v>11</v>
      </c>
      <c r="G40">
        <v>3</v>
      </c>
      <c r="H40">
        <v>12.3595505617977</v>
      </c>
    </row>
    <row r="41" spans="1:8" x14ac:dyDescent="0.25">
      <c r="A41">
        <v>31.27</v>
      </c>
      <c r="B41">
        <v>5</v>
      </c>
      <c r="C41" t="s">
        <v>12</v>
      </c>
      <c r="D41" t="s">
        <v>9</v>
      </c>
      <c r="E41" t="s">
        <v>13</v>
      </c>
      <c r="F41" t="s">
        <v>11</v>
      </c>
      <c r="G41">
        <v>3</v>
      </c>
      <c r="H41">
        <v>15.9897665494083</v>
      </c>
    </row>
    <row r="42" spans="1:8" x14ac:dyDescent="0.25">
      <c r="A42">
        <v>16.04</v>
      </c>
      <c r="B42">
        <v>2.2400000000000002</v>
      </c>
      <c r="C42" t="s">
        <v>12</v>
      </c>
      <c r="D42" t="s">
        <v>9</v>
      </c>
      <c r="E42" t="s">
        <v>13</v>
      </c>
      <c r="F42" t="s">
        <v>11</v>
      </c>
      <c r="G42">
        <v>3</v>
      </c>
      <c r="H42">
        <v>13.965087281795499</v>
      </c>
    </row>
    <row r="43" spans="1:8" x14ac:dyDescent="0.25">
      <c r="A43">
        <v>17.46</v>
      </c>
      <c r="B43">
        <v>2.54</v>
      </c>
      <c r="C43" t="s">
        <v>12</v>
      </c>
      <c r="D43" t="s">
        <v>9</v>
      </c>
      <c r="E43" t="s">
        <v>10</v>
      </c>
      <c r="F43" t="s">
        <v>11</v>
      </c>
      <c r="G43">
        <v>2</v>
      </c>
      <c r="H43">
        <v>14.547537227949499</v>
      </c>
    </row>
    <row r="44" spans="1:8" x14ac:dyDescent="0.25">
      <c r="A44">
        <v>13.94</v>
      </c>
      <c r="B44">
        <v>3.06</v>
      </c>
      <c r="C44" t="s">
        <v>12</v>
      </c>
      <c r="D44" t="s">
        <v>9</v>
      </c>
      <c r="E44" t="s">
        <v>10</v>
      </c>
      <c r="F44" t="s">
        <v>11</v>
      </c>
      <c r="G44">
        <v>2</v>
      </c>
      <c r="H44">
        <v>21.951219512195099</v>
      </c>
    </row>
    <row r="45" spans="1:8" x14ac:dyDescent="0.25">
      <c r="A45">
        <v>9.68</v>
      </c>
      <c r="B45">
        <v>1.32</v>
      </c>
      <c r="C45" t="s">
        <v>12</v>
      </c>
      <c r="D45" t="s">
        <v>9</v>
      </c>
      <c r="E45" t="s">
        <v>10</v>
      </c>
      <c r="F45" t="s">
        <v>11</v>
      </c>
      <c r="G45">
        <v>2</v>
      </c>
      <c r="H45">
        <v>13.636363636363599</v>
      </c>
    </row>
    <row r="46" spans="1:8" x14ac:dyDescent="0.25">
      <c r="A46">
        <v>30.4</v>
      </c>
      <c r="B46">
        <v>5.6</v>
      </c>
      <c r="C46" t="s">
        <v>12</v>
      </c>
      <c r="D46" t="s">
        <v>9</v>
      </c>
      <c r="E46" t="s">
        <v>10</v>
      </c>
      <c r="F46" t="s">
        <v>11</v>
      </c>
      <c r="G46">
        <v>4</v>
      </c>
      <c r="H46">
        <v>18.421052631578899</v>
      </c>
    </row>
    <row r="47" spans="1:8" x14ac:dyDescent="0.25">
      <c r="A47">
        <v>18.29</v>
      </c>
      <c r="B47">
        <v>3</v>
      </c>
      <c r="C47" t="s">
        <v>12</v>
      </c>
      <c r="D47" t="s">
        <v>9</v>
      </c>
      <c r="E47" t="s">
        <v>10</v>
      </c>
      <c r="F47" t="s">
        <v>11</v>
      </c>
      <c r="G47">
        <v>2</v>
      </c>
      <c r="H47">
        <v>16.402405686167299</v>
      </c>
    </row>
    <row r="48" spans="1:8" x14ac:dyDescent="0.25">
      <c r="A48">
        <v>22.23</v>
      </c>
      <c r="B48">
        <v>5</v>
      </c>
      <c r="C48" t="s">
        <v>12</v>
      </c>
      <c r="D48" t="s">
        <v>9</v>
      </c>
      <c r="E48" t="s">
        <v>10</v>
      </c>
      <c r="F48" t="s">
        <v>11</v>
      </c>
      <c r="G48">
        <v>2</v>
      </c>
      <c r="H48">
        <v>22.492127755285601</v>
      </c>
    </row>
    <row r="49" spans="1:8" x14ac:dyDescent="0.25">
      <c r="A49">
        <v>32.4</v>
      </c>
      <c r="B49">
        <v>6</v>
      </c>
      <c r="C49" t="s">
        <v>12</v>
      </c>
      <c r="D49" t="s">
        <v>9</v>
      </c>
      <c r="E49" t="s">
        <v>10</v>
      </c>
      <c r="F49" t="s">
        <v>11</v>
      </c>
      <c r="G49">
        <v>4</v>
      </c>
      <c r="H49">
        <v>18.518518518518501</v>
      </c>
    </row>
    <row r="50" spans="1:8" x14ac:dyDescent="0.25">
      <c r="A50">
        <v>28.55</v>
      </c>
      <c r="B50">
        <v>2.0499999999999998</v>
      </c>
      <c r="C50" t="s">
        <v>12</v>
      </c>
      <c r="D50" t="s">
        <v>9</v>
      </c>
      <c r="E50" t="s">
        <v>10</v>
      </c>
      <c r="F50" t="s">
        <v>11</v>
      </c>
      <c r="G50">
        <v>3</v>
      </c>
      <c r="H50">
        <v>7.1803852889667201</v>
      </c>
    </row>
    <row r="51" spans="1:8" x14ac:dyDescent="0.25">
      <c r="A51">
        <v>18.04</v>
      </c>
      <c r="B51">
        <v>3</v>
      </c>
      <c r="C51" t="s">
        <v>12</v>
      </c>
      <c r="D51" t="s">
        <v>9</v>
      </c>
      <c r="E51" t="s">
        <v>10</v>
      </c>
      <c r="F51" t="s">
        <v>11</v>
      </c>
      <c r="G51">
        <v>2</v>
      </c>
      <c r="H51">
        <v>16.629711751662899</v>
      </c>
    </row>
    <row r="52" spans="1:8" x14ac:dyDescent="0.25">
      <c r="A52">
        <v>12.54</v>
      </c>
      <c r="B52">
        <v>2.5</v>
      </c>
      <c r="C52" t="s">
        <v>12</v>
      </c>
      <c r="D52" t="s">
        <v>9</v>
      </c>
      <c r="E52" t="s">
        <v>10</v>
      </c>
      <c r="F52" t="s">
        <v>11</v>
      </c>
      <c r="G52">
        <v>2</v>
      </c>
      <c r="H52">
        <v>19.9362041467304</v>
      </c>
    </row>
    <row r="53" spans="1:8" x14ac:dyDescent="0.25">
      <c r="A53">
        <v>10.29</v>
      </c>
      <c r="B53">
        <v>2.6</v>
      </c>
      <c r="C53" t="s">
        <v>8</v>
      </c>
      <c r="D53" t="s">
        <v>9</v>
      </c>
      <c r="E53" t="s">
        <v>10</v>
      </c>
      <c r="F53" t="s">
        <v>11</v>
      </c>
      <c r="G53">
        <v>2</v>
      </c>
      <c r="H53">
        <v>25.267249757045601</v>
      </c>
    </row>
    <row r="54" spans="1:8" x14ac:dyDescent="0.25">
      <c r="A54">
        <v>34.81</v>
      </c>
      <c r="B54">
        <v>5.2</v>
      </c>
      <c r="C54" t="s">
        <v>8</v>
      </c>
      <c r="D54" t="s">
        <v>9</v>
      </c>
      <c r="E54" t="s">
        <v>10</v>
      </c>
      <c r="F54" t="s">
        <v>11</v>
      </c>
      <c r="G54">
        <v>4</v>
      </c>
      <c r="H54">
        <v>14.9382361390405</v>
      </c>
    </row>
    <row r="55" spans="1:8" x14ac:dyDescent="0.25">
      <c r="A55">
        <v>9.94</v>
      </c>
      <c r="B55">
        <v>1.56</v>
      </c>
      <c r="C55" t="s">
        <v>12</v>
      </c>
      <c r="D55" t="s">
        <v>9</v>
      </c>
      <c r="E55" t="s">
        <v>10</v>
      </c>
      <c r="F55" t="s">
        <v>11</v>
      </c>
      <c r="G55">
        <v>2</v>
      </c>
      <c r="H55">
        <v>15.694164989939599</v>
      </c>
    </row>
    <row r="56" spans="1:8" x14ac:dyDescent="0.25">
      <c r="A56">
        <v>25.56</v>
      </c>
      <c r="B56">
        <v>4.34</v>
      </c>
      <c r="C56" t="s">
        <v>12</v>
      </c>
      <c r="D56" t="s">
        <v>9</v>
      </c>
      <c r="E56" t="s">
        <v>10</v>
      </c>
      <c r="F56" t="s">
        <v>11</v>
      </c>
      <c r="G56">
        <v>4</v>
      </c>
      <c r="H56">
        <v>16.97965571205</v>
      </c>
    </row>
    <row r="57" spans="1:8" x14ac:dyDescent="0.25">
      <c r="A57">
        <v>19.489999999999998</v>
      </c>
      <c r="B57">
        <v>3.51</v>
      </c>
      <c r="C57" t="s">
        <v>12</v>
      </c>
      <c r="D57" t="s">
        <v>9</v>
      </c>
      <c r="E57" t="s">
        <v>10</v>
      </c>
      <c r="F57" t="s">
        <v>11</v>
      </c>
      <c r="G57">
        <v>2</v>
      </c>
      <c r="H57">
        <v>18.009235505387299</v>
      </c>
    </row>
    <row r="58" spans="1:8" x14ac:dyDescent="0.25">
      <c r="A58">
        <v>38.01</v>
      </c>
      <c r="B58">
        <v>3</v>
      </c>
      <c r="C58" t="s">
        <v>12</v>
      </c>
      <c r="D58" t="s">
        <v>14</v>
      </c>
      <c r="E58" t="s">
        <v>13</v>
      </c>
      <c r="F58" t="s">
        <v>11</v>
      </c>
      <c r="G58">
        <v>4</v>
      </c>
      <c r="H58">
        <v>7.8926598263614798</v>
      </c>
    </row>
    <row r="59" spans="1:8" x14ac:dyDescent="0.25">
      <c r="A59">
        <v>26.41</v>
      </c>
      <c r="B59">
        <v>1.5</v>
      </c>
      <c r="C59" t="s">
        <v>8</v>
      </c>
      <c r="D59" t="s">
        <v>9</v>
      </c>
      <c r="E59" t="s">
        <v>13</v>
      </c>
      <c r="F59" t="s">
        <v>11</v>
      </c>
      <c r="G59">
        <v>2</v>
      </c>
      <c r="H59">
        <v>5.6796667928814797</v>
      </c>
    </row>
    <row r="60" spans="1:8" x14ac:dyDescent="0.25">
      <c r="A60">
        <v>11.24</v>
      </c>
      <c r="B60">
        <v>1.76</v>
      </c>
      <c r="C60" t="s">
        <v>12</v>
      </c>
      <c r="D60" t="s">
        <v>14</v>
      </c>
      <c r="E60" t="s">
        <v>13</v>
      </c>
      <c r="F60" t="s">
        <v>11</v>
      </c>
      <c r="G60">
        <v>2</v>
      </c>
      <c r="H60">
        <v>15.6583629893238</v>
      </c>
    </row>
    <row r="61" spans="1:8" x14ac:dyDescent="0.25">
      <c r="A61">
        <v>48.27</v>
      </c>
      <c r="B61">
        <v>6.73</v>
      </c>
      <c r="C61" t="s">
        <v>12</v>
      </c>
      <c r="D61" t="s">
        <v>9</v>
      </c>
      <c r="E61" t="s">
        <v>13</v>
      </c>
      <c r="F61" t="s">
        <v>11</v>
      </c>
      <c r="G61">
        <v>4</v>
      </c>
      <c r="H61">
        <v>13.942407292314</v>
      </c>
    </row>
    <row r="62" spans="1:8" x14ac:dyDescent="0.25">
      <c r="A62">
        <v>20.29</v>
      </c>
      <c r="B62">
        <v>3.21</v>
      </c>
      <c r="C62" t="s">
        <v>12</v>
      </c>
      <c r="D62" t="s">
        <v>14</v>
      </c>
      <c r="E62" t="s">
        <v>13</v>
      </c>
      <c r="F62" t="s">
        <v>11</v>
      </c>
      <c r="G62">
        <v>2</v>
      </c>
      <c r="H62">
        <v>15.8206012814194</v>
      </c>
    </row>
    <row r="63" spans="1:8" x14ac:dyDescent="0.25">
      <c r="A63">
        <v>13.81</v>
      </c>
      <c r="B63">
        <v>2</v>
      </c>
      <c r="C63" t="s">
        <v>12</v>
      </c>
      <c r="D63" t="s">
        <v>14</v>
      </c>
      <c r="E63" t="s">
        <v>13</v>
      </c>
      <c r="F63" t="s">
        <v>11</v>
      </c>
      <c r="G63">
        <v>2</v>
      </c>
      <c r="H63">
        <v>14.4822592324402</v>
      </c>
    </row>
    <row r="64" spans="1:8" x14ac:dyDescent="0.25">
      <c r="A64">
        <v>11.02</v>
      </c>
      <c r="B64">
        <v>1.98</v>
      </c>
      <c r="C64" t="s">
        <v>12</v>
      </c>
      <c r="D64" t="s">
        <v>14</v>
      </c>
      <c r="E64" t="s">
        <v>13</v>
      </c>
      <c r="F64" t="s">
        <v>11</v>
      </c>
      <c r="G64">
        <v>2</v>
      </c>
      <c r="H64">
        <v>17.9673321234119</v>
      </c>
    </row>
    <row r="65" spans="1:8" x14ac:dyDescent="0.25">
      <c r="A65">
        <v>18.29</v>
      </c>
      <c r="B65">
        <v>3.76</v>
      </c>
      <c r="C65" t="s">
        <v>12</v>
      </c>
      <c r="D65" t="s">
        <v>14</v>
      </c>
      <c r="E65" t="s">
        <v>13</v>
      </c>
      <c r="F65" t="s">
        <v>11</v>
      </c>
      <c r="G65">
        <v>4</v>
      </c>
      <c r="H65">
        <v>20.5576817933296</v>
      </c>
    </row>
    <row r="66" spans="1:8" x14ac:dyDescent="0.25">
      <c r="A66">
        <v>17.59</v>
      </c>
      <c r="B66">
        <v>2.64</v>
      </c>
      <c r="C66" t="s">
        <v>12</v>
      </c>
      <c r="D66" t="s">
        <v>9</v>
      </c>
      <c r="E66" t="s">
        <v>13</v>
      </c>
      <c r="F66" t="s">
        <v>11</v>
      </c>
      <c r="G66">
        <v>3</v>
      </c>
      <c r="H66">
        <v>15.008527572484301</v>
      </c>
    </row>
    <row r="67" spans="1:8" x14ac:dyDescent="0.25">
      <c r="A67">
        <v>20.079999999999998</v>
      </c>
      <c r="B67">
        <v>3.15</v>
      </c>
      <c r="C67" t="s">
        <v>12</v>
      </c>
      <c r="D67" t="s">
        <v>9</v>
      </c>
      <c r="E67" t="s">
        <v>13</v>
      </c>
      <c r="F67" t="s">
        <v>11</v>
      </c>
      <c r="G67">
        <v>3</v>
      </c>
      <c r="H67">
        <v>15.6872509960159</v>
      </c>
    </row>
    <row r="68" spans="1:8" x14ac:dyDescent="0.25">
      <c r="A68">
        <v>16.45</v>
      </c>
      <c r="B68">
        <v>2.4700000000000002</v>
      </c>
      <c r="C68" t="s">
        <v>8</v>
      </c>
      <c r="D68" t="s">
        <v>9</v>
      </c>
      <c r="E68" t="s">
        <v>13</v>
      </c>
      <c r="F68" t="s">
        <v>11</v>
      </c>
      <c r="G68">
        <v>2</v>
      </c>
      <c r="H68">
        <v>15.015197568389</v>
      </c>
    </row>
    <row r="69" spans="1:8" x14ac:dyDescent="0.25">
      <c r="A69">
        <v>3.07</v>
      </c>
      <c r="B69">
        <v>1</v>
      </c>
      <c r="C69" t="s">
        <v>8</v>
      </c>
      <c r="D69" t="s">
        <v>14</v>
      </c>
      <c r="E69" t="s">
        <v>13</v>
      </c>
      <c r="F69" t="s">
        <v>11</v>
      </c>
      <c r="G69">
        <v>1</v>
      </c>
      <c r="H69">
        <v>32.573289902280102</v>
      </c>
    </row>
    <row r="70" spans="1:8" x14ac:dyDescent="0.25">
      <c r="A70">
        <v>20.23</v>
      </c>
      <c r="B70">
        <v>2.0099999999999998</v>
      </c>
      <c r="C70" t="s">
        <v>12</v>
      </c>
      <c r="D70" t="s">
        <v>9</v>
      </c>
      <c r="E70" t="s">
        <v>13</v>
      </c>
      <c r="F70" t="s">
        <v>11</v>
      </c>
      <c r="G70">
        <v>2</v>
      </c>
      <c r="H70">
        <v>9.9357390014829399</v>
      </c>
    </row>
    <row r="71" spans="1:8" x14ac:dyDescent="0.25">
      <c r="A71">
        <v>15.01</v>
      </c>
      <c r="B71">
        <v>2.09</v>
      </c>
      <c r="C71" t="s">
        <v>12</v>
      </c>
      <c r="D71" t="s">
        <v>14</v>
      </c>
      <c r="E71" t="s">
        <v>13</v>
      </c>
      <c r="F71" t="s">
        <v>11</v>
      </c>
      <c r="G71">
        <v>2</v>
      </c>
      <c r="H71">
        <v>13.9240506329113</v>
      </c>
    </row>
    <row r="72" spans="1:8" x14ac:dyDescent="0.25">
      <c r="A72">
        <v>12.02</v>
      </c>
      <c r="B72">
        <v>1.97</v>
      </c>
      <c r="C72" t="s">
        <v>12</v>
      </c>
      <c r="D72" t="s">
        <v>9</v>
      </c>
      <c r="E72" t="s">
        <v>13</v>
      </c>
      <c r="F72" t="s">
        <v>11</v>
      </c>
      <c r="G72">
        <v>2</v>
      </c>
      <c r="H72">
        <v>16.389351081530702</v>
      </c>
    </row>
    <row r="73" spans="1:8" x14ac:dyDescent="0.25">
      <c r="A73">
        <v>17.07</v>
      </c>
      <c r="B73">
        <v>3</v>
      </c>
      <c r="C73" t="s">
        <v>8</v>
      </c>
      <c r="D73" t="s">
        <v>9</v>
      </c>
      <c r="E73" t="s">
        <v>13</v>
      </c>
      <c r="F73" t="s">
        <v>11</v>
      </c>
      <c r="G73">
        <v>3</v>
      </c>
      <c r="H73">
        <v>17.574692442882199</v>
      </c>
    </row>
    <row r="74" spans="1:8" x14ac:dyDescent="0.25">
      <c r="A74">
        <v>26.86</v>
      </c>
      <c r="B74">
        <v>3.14</v>
      </c>
      <c r="C74" t="s">
        <v>8</v>
      </c>
      <c r="D74" t="s">
        <v>14</v>
      </c>
      <c r="E74" t="s">
        <v>13</v>
      </c>
      <c r="F74" t="s">
        <v>11</v>
      </c>
      <c r="G74">
        <v>2</v>
      </c>
      <c r="H74">
        <v>11.690245718540501</v>
      </c>
    </row>
    <row r="75" spans="1:8" x14ac:dyDescent="0.25">
      <c r="A75">
        <v>25.28</v>
      </c>
      <c r="B75">
        <v>5</v>
      </c>
      <c r="C75" t="s">
        <v>8</v>
      </c>
      <c r="D75" t="s">
        <v>14</v>
      </c>
      <c r="E75" t="s">
        <v>13</v>
      </c>
      <c r="F75" t="s">
        <v>11</v>
      </c>
      <c r="G75">
        <v>2</v>
      </c>
      <c r="H75">
        <v>19.778481012658201</v>
      </c>
    </row>
    <row r="76" spans="1:8" x14ac:dyDescent="0.25">
      <c r="A76">
        <v>14.73</v>
      </c>
      <c r="B76">
        <v>2.2000000000000002</v>
      </c>
      <c r="C76" t="s">
        <v>8</v>
      </c>
      <c r="D76" t="s">
        <v>9</v>
      </c>
      <c r="E76" t="s">
        <v>13</v>
      </c>
      <c r="F76" t="s">
        <v>11</v>
      </c>
      <c r="G76">
        <v>2</v>
      </c>
      <c r="H76">
        <v>14.935505770536301</v>
      </c>
    </row>
    <row r="77" spans="1:8" x14ac:dyDescent="0.25">
      <c r="A77">
        <v>10.51</v>
      </c>
      <c r="B77">
        <v>1.25</v>
      </c>
      <c r="C77" t="s">
        <v>12</v>
      </c>
      <c r="D77" t="s">
        <v>9</v>
      </c>
      <c r="E77" t="s">
        <v>13</v>
      </c>
      <c r="F77" t="s">
        <v>11</v>
      </c>
      <c r="G77">
        <v>2</v>
      </c>
      <c r="H77">
        <v>11.893434823977101</v>
      </c>
    </row>
    <row r="78" spans="1:8" x14ac:dyDescent="0.25">
      <c r="A78">
        <v>17.920000000000002</v>
      </c>
      <c r="B78">
        <v>3.08</v>
      </c>
      <c r="C78" t="s">
        <v>12</v>
      </c>
      <c r="D78" t="s">
        <v>14</v>
      </c>
      <c r="E78" t="s">
        <v>13</v>
      </c>
      <c r="F78" t="s">
        <v>11</v>
      </c>
      <c r="G78">
        <v>2</v>
      </c>
      <c r="H78">
        <v>17.1875</v>
      </c>
    </row>
    <row r="79" spans="1:8" x14ac:dyDescent="0.25">
      <c r="A79">
        <v>27.2</v>
      </c>
      <c r="B79">
        <v>4</v>
      </c>
      <c r="C79" t="s">
        <v>12</v>
      </c>
      <c r="D79" t="s">
        <v>9</v>
      </c>
      <c r="E79" t="s">
        <v>15</v>
      </c>
      <c r="F79" t="s">
        <v>16</v>
      </c>
      <c r="G79">
        <v>4</v>
      </c>
      <c r="H79">
        <v>14.705882352941099</v>
      </c>
    </row>
    <row r="80" spans="1:8" x14ac:dyDescent="0.25">
      <c r="A80">
        <v>22.76</v>
      </c>
      <c r="B80">
        <v>3</v>
      </c>
      <c r="C80" t="s">
        <v>12</v>
      </c>
      <c r="D80" t="s">
        <v>9</v>
      </c>
      <c r="E80" t="s">
        <v>15</v>
      </c>
      <c r="F80" t="s">
        <v>16</v>
      </c>
      <c r="G80">
        <v>2</v>
      </c>
      <c r="H80">
        <v>13.1810193321616</v>
      </c>
    </row>
    <row r="81" spans="1:8" x14ac:dyDescent="0.25">
      <c r="A81">
        <v>17.29</v>
      </c>
      <c r="B81">
        <v>2.71</v>
      </c>
      <c r="C81" t="s">
        <v>12</v>
      </c>
      <c r="D81" t="s">
        <v>9</v>
      </c>
      <c r="E81" t="s">
        <v>15</v>
      </c>
      <c r="F81" t="s">
        <v>16</v>
      </c>
      <c r="G81">
        <v>2</v>
      </c>
      <c r="H81">
        <v>15.673799884326201</v>
      </c>
    </row>
    <row r="82" spans="1:8" x14ac:dyDescent="0.25">
      <c r="A82">
        <v>19.440000000000001</v>
      </c>
      <c r="B82">
        <v>3</v>
      </c>
      <c r="C82" t="s">
        <v>12</v>
      </c>
      <c r="D82" t="s">
        <v>14</v>
      </c>
      <c r="E82" t="s">
        <v>15</v>
      </c>
      <c r="F82" t="s">
        <v>16</v>
      </c>
      <c r="G82">
        <v>2</v>
      </c>
      <c r="H82">
        <v>15.432098765432</v>
      </c>
    </row>
    <row r="83" spans="1:8" x14ac:dyDescent="0.25">
      <c r="A83">
        <v>16.66</v>
      </c>
      <c r="B83">
        <v>3.4</v>
      </c>
      <c r="C83" t="s">
        <v>12</v>
      </c>
      <c r="D83" t="s">
        <v>9</v>
      </c>
      <c r="E83" t="s">
        <v>15</v>
      </c>
      <c r="F83" t="s">
        <v>16</v>
      </c>
      <c r="G83">
        <v>2</v>
      </c>
      <c r="H83">
        <v>20.408163265306101</v>
      </c>
    </row>
    <row r="84" spans="1:8" x14ac:dyDescent="0.25">
      <c r="A84">
        <v>10.07</v>
      </c>
      <c r="B84">
        <v>1.83</v>
      </c>
      <c r="C84" t="s">
        <v>8</v>
      </c>
      <c r="D84" t="s">
        <v>9</v>
      </c>
      <c r="E84" t="s">
        <v>15</v>
      </c>
      <c r="F84" t="s">
        <v>16</v>
      </c>
      <c r="G84">
        <v>1</v>
      </c>
      <c r="H84">
        <v>18.172790466732799</v>
      </c>
    </row>
    <row r="85" spans="1:8" x14ac:dyDescent="0.25">
      <c r="A85">
        <v>32.68</v>
      </c>
      <c r="B85">
        <v>5</v>
      </c>
      <c r="C85" t="s">
        <v>12</v>
      </c>
      <c r="D85" t="s">
        <v>14</v>
      </c>
      <c r="E85" t="s">
        <v>15</v>
      </c>
      <c r="F85" t="s">
        <v>16</v>
      </c>
      <c r="G85">
        <v>2</v>
      </c>
      <c r="H85">
        <v>15.2998776009791</v>
      </c>
    </row>
    <row r="86" spans="1:8" x14ac:dyDescent="0.25">
      <c r="A86">
        <v>15.98</v>
      </c>
      <c r="B86">
        <v>2.0299999999999998</v>
      </c>
      <c r="C86" t="s">
        <v>12</v>
      </c>
      <c r="D86" t="s">
        <v>9</v>
      </c>
      <c r="E86" t="s">
        <v>15</v>
      </c>
      <c r="F86" t="s">
        <v>16</v>
      </c>
      <c r="G86">
        <v>2</v>
      </c>
      <c r="H86">
        <v>12.70337922403</v>
      </c>
    </row>
    <row r="87" spans="1:8" x14ac:dyDescent="0.25">
      <c r="A87">
        <v>34.83</v>
      </c>
      <c r="B87">
        <v>5.17</v>
      </c>
      <c r="C87" t="s">
        <v>8</v>
      </c>
      <c r="D87" t="s">
        <v>9</v>
      </c>
      <c r="E87" t="s">
        <v>15</v>
      </c>
      <c r="F87" t="s">
        <v>16</v>
      </c>
      <c r="G87">
        <v>4</v>
      </c>
      <c r="H87">
        <v>14.8435256962388</v>
      </c>
    </row>
    <row r="88" spans="1:8" x14ac:dyDescent="0.25">
      <c r="A88">
        <v>13.03</v>
      </c>
      <c r="B88">
        <v>2</v>
      </c>
      <c r="C88" t="s">
        <v>12</v>
      </c>
      <c r="D88" t="s">
        <v>9</v>
      </c>
      <c r="E88" t="s">
        <v>15</v>
      </c>
      <c r="F88" t="s">
        <v>16</v>
      </c>
      <c r="G88">
        <v>2</v>
      </c>
      <c r="H88">
        <v>15.3491941673062</v>
      </c>
    </row>
    <row r="89" spans="1:8" x14ac:dyDescent="0.25">
      <c r="A89">
        <v>18.28</v>
      </c>
      <c r="B89">
        <v>4</v>
      </c>
      <c r="C89" t="s">
        <v>12</v>
      </c>
      <c r="D89" t="s">
        <v>9</v>
      </c>
      <c r="E89" t="s">
        <v>15</v>
      </c>
      <c r="F89" t="s">
        <v>16</v>
      </c>
      <c r="G89">
        <v>2</v>
      </c>
      <c r="H89">
        <v>21.8818380743982</v>
      </c>
    </row>
    <row r="90" spans="1:8" x14ac:dyDescent="0.25">
      <c r="A90">
        <v>24.71</v>
      </c>
      <c r="B90">
        <v>5.85</v>
      </c>
      <c r="C90" t="s">
        <v>12</v>
      </c>
      <c r="D90" t="s">
        <v>9</v>
      </c>
      <c r="E90" t="s">
        <v>15</v>
      </c>
      <c r="F90" t="s">
        <v>16</v>
      </c>
      <c r="G90">
        <v>2</v>
      </c>
      <c r="H90">
        <v>23.6746256576284</v>
      </c>
    </row>
    <row r="91" spans="1:8" x14ac:dyDescent="0.25">
      <c r="A91">
        <v>21.16</v>
      </c>
      <c r="B91">
        <v>3</v>
      </c>
      <c r="C91" t="s">
        <v>12</v>
      </c>
      <c r="D91" t="s">
        <v>9</v>
      </c>
      <c r="E91" t="s">
        <v>15</v>
      </c>
      <c r="F91" t="s">
        <v>16</v>
      </c>
      <c r="G91">
        <v>2</v>
      </c>
      <c r="H91">
        <v>14.1776937618147</v>
      </c>
    </row>
    <row r="92" spans="1:8" x14ac:dyDescent="0.25">
      <c r="A92">
        <v>28.97</v>
      </c>
      <c r="B92">
        <v>3</v>
      </c>
      <c r="C92" t="s">
        <v>12</v>
      </c>
      <c r="D92" t="s">
        <v>14</v>
      </c>
      <c r="E92" t="s">
        <v>17</v>
      </c>
      <c r="F92" t="s">
        <v>11</v>
      </c>
      <c r="G92">
        <v>2</v>
      </c>
      <c r="H92">
        <v>10.3555402140144</v>
      </c>
    </row>
    <row r="93" spans="1:8" x14ac:dyDescent="0.25">
      <c r="A93">
        <v>22.49</v>
      </c>
      <c r="B93">
        <v>3.5</v>
      </c>
      <c r="C93" t="s">
        <v>12</v>
      </c>
      <c r="D93" t="s">
        <v>9</v>
      </c>
      <c r="E93" t="s">
        <v>17</v>
      </c>
      <c r="F93" t="s">
        <v>11</v>
      </c>
      <c r="G93">
        <v>2</v>
      </c>
      <c r="H93">
        <v>15.562472209871</v>
      </c>
    </row>
    <row r="94" spans="1:8" x14ac:dyDescent="0.25">
      <c r="A94">
        <v>5.75</v>
      </c>
      <c r="B94">
        <v>1</v>
      </c>
      <c r="C94" t="s">
        <v>8</v>
      </c>
      <c r="D94" t="s">
        <v>14</v>
      </c>
      <c r="E94" t="s">
        <v>17</v>
      </c>
      <c r="F94" t="s">
        <v>11</v>
      </c>
      <c r="G94">
        <v>2</v>
      </c>
      <c r="H94">
        <v>17.391304347826001</v>
      </c>
    </row>
    <row r="95" spans="1:8" x14ac:dyDescent="0.25">
      <c r="A95">
        <v>16.32</v>
      </c>
      <c r="B95">
        <v>4.3</v>
      </c>
      <c r="C95" t="s">
        <v>8</v>
      </c>
      <c r="D95" t="s">
        <v>14</v>
      </c>
      <c r="E95" t="s">
        <v>17</v>
      </c>
      <c r="F95" t="s">
        <v>11</v>
      </c>
      <c r="G95">
        <v>2</v>
      </c>
      <c r="H95">
        <v>26.3480392156862</v>
      </c>
    </row>
    <row r="96" spans="1:8" x14ac:dyDescent="0.25">
      <c r="A96">
        <v>22.75</v>
      </c>
      <c r="B96">
        <v>3.25</v>
      </c>
      <c r="C96" t="s">
        <v>8</v>
      </c>
      <c r="D96" t="s">
        <v>9</v>
      </c>
      <c r="E96" t="s">
        <v>17</v>
      </c>
      <c r="F96" t="s">
        <v>11</v>
      </c>
      <c r="G96">
        <v>2</v>
      </c>
      <c r="H96">
        <v>14.285714285714199</v>
      </c>
    </row>
    <row r="97" spans="1:8" x14ac:dyDescent="0.25">
      <c r="A97">
        <v>40.17</v>
      </c>
      <c r="B97">
        <v>4.7300000000000004</v>
      </c>
      <c r="C97" t="s">
        <v>12</v>
      </c>
      <c r="D97" t="s">
        <v>14</v>
      </c>
      <c r="E97" t="s">
        <v>17</v>
      </c>
      <c r="F97" t="s">
        <v>11</v>
      </c>
      <c r="G97">
        <v>4</v>
      </c>
      <c r="H97">
        <v>11.7749564351506</v>
      </c>
    </row>
    <row r="98" spans="1:8" x14ac:dyDescent="0.25">
      <c r="A98">
        <v>27.28</v>
      </c>
      <c r="B98">
        <v>4</v>
      </c>
      <c r="C98" t="s">
        <v>12</v>
      </c>
      <c r="D98" t="s">
        <v>14</v>
      </c>
      <c r="E98" t="s">
        <v>17</v>
      </c>
      <c r="F98" t="s">
        <v>11</v>
      </c>
      <c r="G98">
        <v>2</v>
      </c>
      <c r="H98">
        <v>14.662756598240399</v>
      </c>
    </row>
    <row r="99" spans="1:8" x14ac:dyDescent="0.25">
      <c r="A99">
        <v>12.03</v>
      </c>
      <c r="B99">
        <v>1.5</v>
      </c>
      <c r="C99" t="s">
        <v>12</v>
      </c>
      <c r="D99" t="s">
        <v>14</v>
      </c>
      <c r="E99" t="s">
        <v>17</v>
      </c>
      <c r="F99" t="s">
        <v>11</v>
      </c>
      <c r="G99">
        <v>2</v>
      </c>
      <c r="H99">
        <v>12.4688279301745</v>
      </c>
    </row>
    <row r="100" spans="1:8" x14ac:dyDescent="0.25">
      <c r="A100">
        <v>21.01</v>
      </c>
      <c r="B100">
        <v>3</v>
      </c>
      <c r="C100" t="s">
        <v>12</v>
      </c>
      <c r="D100" t="s">
        <v>14</v>
      </c>
      <c r="E100" t="s">
        <v>17</v>
      </c>
      <c r="F100" t="s">
        <v>11</v>
      </c>
      <c r="G100">
        <v>2</v>
      </c>
      <c r="H100">
        <v>14.278914802475001</v>
      </c>
    </row>
    <row r="101" spans="1:8" x14ac:dyDescent="0.25">
      <c r="A101">
        <v>12.46</v>
      </c>
      <c r="B101">
        <v>1.5</v>
      </c>
      <c r="C101" t="s">
        <v>12</v>
      </c>
      <c r="D101" t="s">
        <v>9</v>
      </c>
      <c r="E101" t="s">
        <v>17</v>
      </c>
      <c r="F101" t="s">
        <v>11</v>
      </c>
      <c r="G101">
        <v>2</v>
      </c>
      <c r="H101">
        <v>12.038523274478299</v>
      </c>
    </row>
    <row r="102" spans="1:8" x14ac:dyDescent="0.25">
      <c r="A102">
        <v>11.35</v>
      </c>
      <c r="B102">
        <v>2.5</v>
      </c>
      <c r="C102" t="s">
        <v>8</v>
      </c>
      <c r="D102" t="s">
        <v>14</v>
      </c>
      <c r="E102" t="s">
        <v>17</v>
      </c>
      <c r="F102" t="s">
        <v>11</v>
      </c>
      <c r="G102">
        <v>2</v>
      </c>
      <c r="H102">
        <v>22.026431718061598</v>
      </c>
    </row>
    <row r="103" spans="1:8" x14ac:dyDescent="0.25">
      <c r="A103">
        <v>15.38</v>
      </c>
      <c r="B103">
        <v>3</v>
      </c>
      <c r="C103" t="s">
        <v>8</v>
      </c>
      <c r="D103" t="s">
        <v>14</v>
      </c>
      <c r="E103" t="s">
        <v>17</v>
      </c>
      <c r="F103" t="s">
        <v>11</v>
      </c>
      <c r="G103">
        <v>2</v>
      </c>
      <c r="H103">
        <v>19.505851755526599</v>
      </c>
    </row>
    <row r="104" spans="1:8" x14ac:dyDescent="0.25">
      <c r="A104">
        <v>44.3</v>
      </c>
      <c r="B104">
        <v>2.5</v>
      </c>
      <c r="C104" t="s">
        <v>8</v>
      </c>
      <c r="D104" t="s">
        <v>14</v>
      </c>
      <c r="E104" t="s">
        <v>13</v>
      </c>
      <c r="F104" t="s">
        <v>11</v>
      </c>
      <c r="G104">
        <v>3</v>
      </c>
      <c r="H104">
        <v>5.6433408577878099</v>
      </c>
    </row>
    <row r="105" spans="1:8" x14ac:dyDescent="0.25">
      <c r="A105">
        <v>22.42</v>
      </c>
      <c r="B105">
        <v>3.48</v>
      </c>
      <c r="C105" t="s">
        <v>8</v>
      </c>
      <c r="D105" t="s">
        <v>14</v>
      </c>
      <c r="E105" t="s">
        <v>13</v>
      </c>
      <c r="F105" t="s">
        <v>11</v>
      </c>
      <c r="G105">
        <v>2</v>
      </c>
      <c r="H105">
        <v>15.521855486172999</v>
      </c>
    </row>
    <row r="106" spans="1:8" x14ac:dyDescent="0.25">
      <c r="A106">
        <v>20.92</v>
      </c>
      <c r="B106">
        <v>4.08</v>
      </c>
      <c r="C106" t="s">
        <v>8</v>
      </c>
      <c r="D106" t="s">
        <v>9</v>
      </c>
      <c r="E106" t="s">
        <v>13</v>
      </c>
      <c r="F106" t="s">
        <v>11</v>
      </c>
      <c r="G106">
        <v>2</v>
      </c>
      <c r="H106">
        <v>19.5028680688336</v>
      </c>
    </row>
    <row r="107" spans="1:8" x14ac:dyDescent="0.25">
      <c r="A107">
        <v>15.36</v>
      </c>
      <c r="B107">
        <v>1.64</v>
      </c>
      <c r="C107" t="s">
        <v>12</v>
      </c>
      <c r="D107" t="s">
        <v>14</v>
      </c>
      <c r="E107" t="s">
        <v>13</v>
      </c>
      <c r="F107" t="s">
        <v>11</v>
      </c>
      <c r="G107">
        <v>2</v>
      </c>
      <c r="H107">
        <v>10.6770833333333</v>
      </c>
    </row>
    <row r="108" spans="1:8" x14ac:dyDescent="0.25">
      <c r="A108">
        <v>20.49</v>
      </c>
      <c r="B108">
        <v>4.0599999999999996</v>
      </c>
      <c r="C108" t="s">
        <v>12</v>
      </c>
      <c r="D108" t="s">
        <v>14</v>
      </c>
      <c r="E108" t="s">
        <v>13</v>
      </c>
      <c r="F108" t="s">
        <v>11</v>
      </c>
      <c r="G108">
        <v>2</v>
      </c>
      <c r="H108">
        <v>19.814543679843801</v>
      </c>
    </row>
    <row r="109" spans="1:8" x14ac:dyDescent="0.25">
      <c r="A109">
        <v>25.21</v>
      </c>
      <c r="B109">
        <v>4.29</v>
      </c>
      <c r="C109" t="s">
        <v>12</v>
      </c>
      <c r="D109" t="s">
        <v>14</v>
      </c>
      <c r="E109" t="s">
        <v>13</v>
      </c>
      <c r="F109" t="s">
        <v>11</v>
      </c>
      <c r="G109">
        <v>2</v>
      </c>
      <c r="H109">
        <v>17.017056723522401</v>
      </c>
    </row>
    <row r="110" spans="1:8" x14ac:dyDescent="0.25">
      <c r="A110">
        <v>18.239999999999998</v>
      </c>
      <c r="B110">
        <v>3.76</v>
      </c>
      <c r="C110" t="s">
        <v>12</v>
      </c>
      <c r="D110" t="s">
        <v>9</v>
      </c>
      <c r="E110" t="s">
        <v>13</v>
      </c>
      <c r="F110" t="s">
        <v>11</v>
      </c>
      <c r="G110">
        <v>2</v>
      </c>
      <c r="H110">
        <v>20.614035087719198</v>
      </c>
    </row>
    <row r="111" spans="1:8" x14ac:dyDescent="0.25">
      <c r="A111">
        <v>14.31</v>
      </c>
      <c r="B111">
        <v>4</v>
      </c>
      <c r="C111" t="s">
        <v>8</v>
      </c>
      <c r="D111" t="s">
        <v>14</v>
      </c>
      <c r="E111" t="s">
        <v>13</v>
      </c>
      <c r="F111" t="s">
        <v>11</v>
      </c>
      <c r="G111">
        <v>2</v>
      </c>
      <c r="H111">
        <v>27.952480782669401</v>
      </c>
    </row>
    <row r="112" spans="1:8" x14ac:dyDescent="0.25">
      <c r="A112">
        <v>14</v>
      </c>
      <c r="B112">
        <v>3</v>
      </c>
      <c r="C112" t="s">
        <v>12</v>
      </c>
      <c r="D112" t="s">
        <v>9</v>
      </c>
      <c r="E112" t="s">
        <v>13</v>
      </c>
      <c r="F112" t="s">
        <v>11</v>
      </c>
      <c r="G112">
        <v>2</v>
      </c>
      <c r="H112">
        <v>21.428571428571399</v>
      </c>
    </row>
    <row r="113" spans="1:8" x14ac:dyDescent="0.25">
      <c r="A113">
        <v>7.25</v>
      </c>
      <c r="B113">
        <v>1</v>
      </c>
      <c r="C113" t="s">
        <v>8</v>
      </c>
      <c r="D113" t="s">
        <v>9</v>
      </c>
      <c r="E113" t="s">
        <v>13</v>
      </c>
      <c r="F113" t="s">
        <v>11</v>
      </c>
      <c r="G113">
        <v>1</v>
      </c>
      <c r="H113">
        <v>13.793103448275801</v>
      </c>
    </row>
    <row r="114" spans="1:8" x14ac:dyDescent="0.25">
      <c r="A114">
        <v>38.07</v>
      </c>
      <c r="B114">
        <v>4</v>
      </c>
      <c r="C114" t="s">
        <v>12</v>
      </c>
      <c r="D114" t="s">
        <v>9</v>
      </c>
      <c r="E114" t="s">
        <v>10</v>
      </c>
      <c r="F114" t="s">
        <v>11</v>
      </c>
      <c r="G114">
        <v>3</v>
      </c>
      <c r="H114">
        <v>10.5069608615707</v>
      </c>
    </row>
    <row r="115" spans="1:8" x14ac:dyDescent="0.25">
      <c r="A115">
        <v>23.95</v>
      </c>
      <c r="B115">
        <v>2.5499999999999998</v>
      </c>
      <c r="C115" t="s">
        <v>12</v>
      </c>
      <c r="D115" t="s">
        <v>9</v>
      </c>
      <c r="E115" t="s">
        <v>10</v>
      </c>
      <c r="F115" t="s">
        <v>11</v>
      </c>
      <c r="G115">
        <v>2</v>
      </c>
      <c r="H115">
        <v>10.647181628392399</v>
      </c>
    </row>
    <row r="116" spans="1:8" x14ac:dyDescent="0.25">
      <c r="A116">
        <v>25.71</v>
      </c>
      <c r="B116">
        <v>4</v>
      </c>
      <c r="C116" t="s">
        <v>8</v>
      </c>
      <c r="D116" t="s">
        <v>9</v>
      </c>
      <c r="E116" t="s">
        <v>10</v>
      </c>
      <c r="F116" t="s">
        <v>11</v>
      </c>
      <c r="G116">
        <v>3</v>
      </c>
      <c r="H116">
        <v>15.5581485803189</v>
      </c>
    </row>
    <row r="117" spans="1:8" x14ac:dyDescent="0.25">
      <c r="A117">
        <v>17.309999999999999</v>
      </c>
      <c r="B117">
        <v>3.5</v>
      </c>
      <c r="C117" t="s">
        <v>8</v>
      </c>
      <c r="D117" t="s">
        <v>9</v>
      </c>
      <c r="E117" t="s">
        <v>10</v>
      </c>
      <c r="F117" t="s">
        <v>11</v>
      </c>
      <c r="G117">
        <v>2</v>
      </c>
      <c r="H117">
        <v>20.219526285384099</v>
      </c>
    </row>
    <row r="118" spans="1:8" x14ac:dyDescent="0.25">
      <c r="A118">
        <v>29.93</v>
      </c>
      <c r="B118">
        <v>5.07</v>
      </c>
      <c r="C118" t="s">
        <v>12</v>
      </c>
      <c r="D118" t="s">
        <v>9</v>
      </c>
      <c r="E118" t="s">
        <v>10</v>
      </c>
      <c r="F118" t="s">
        <v>11</v>
      </c>
      <c r="G118">
        <v>4</v>
      </c>
      <c r="H118">
        <v>16.939525559639101</v>
      </c>
    </row>
    <row r="119" spans="1:8" x14ac:dyDescent="0.25">
      <c r="A119">
        <v>10.65</v>
      </c>
      <c r="B119">
        <v>1.5</v>
      </c>
      <c r="C119" t="s">
        <v>8</v>
      </c>
      <c r="D119" t="s">
        <v>9</v>
      </c>
      <c r="E119" t="s">
        <v>15</v>
      </c>
      <c r="F119" t="s">
        <v>16</v>
      </c>
      <c r="G119">
        <v>2</v>
      </c>
      <c r="H119">
        <v>14.084507042253501</v>
      </c>
    </row>
    <row r="120" spans="1:8" x14ac:dyDescent="0.25">
      <c r="A120">
        <v>12.43</v>
      </c>
      <c r="B120">
        <v>1.8</v>
      </c>
      <c r="C120" t="s">
        <v>8</v>
      </c>
      <c r="D120" t="s">
        <v>9</v>
      </c>
      <c r="E120" t="s">
        <v>15</v>
      </c>
      <c r="F120" t="s">
        <v>16</v>
      </c>
      <c r="G120">
        <v>2</v>
      </c>
      <c r="H120">
        <v>14.481094127111801</v>
      </c>
    </row>
    <row r="121" spans="1:8" x14ac:dyDescent="0.25">
      <c r="A121">
        <v>24.08</v>
      </c>
      <c r="B121">
        <v>2.92</v>
      </c>
      <c r="C121" t="s">
        <v>8</v>
      </c>
      <c r="D121" t="s">
        <v>9</v>
      </c>
      <c r="E121" t="s">
        <v>15</v>
      </c>
      <c r="F121" t="s">
        <v>16</v>
      </c>
      <c r="G121">
        <v>4</v>
      </c>
      <c r="H121">
        <v>12.126245847176</v>
      </c>
    </row>
    <row r="122" spans="1:8" x14ac:dyDescent="0.25">
      <c r="A122">
        <v>11.69</v>
      </c>
      <c r="B122">
        <v>2.31</v>
      </c>
      <c r="C122" t="s">
        <v>12</v>
      </c>
      <c r="D122" t="s">
        <v>9</v>
      </c>
      <c r="E122" t="s">
        <v>15</v>
      </c>
      <c r="F122" t="s">
        <v>16</v>
      </c>
      <c r="G122">
        <v>2</v>
      </c>
      <c r="H122">
        <v>19.760479041916099</v>
      </c>
    </row>
    <row r="123" spans="1:8" x14ac:dyDescent="0.25">
      <c r="A123">
        <v>13.42</v>
      </c>
      <c r="B123">
        <v>1.68</v>
      </c>
      <c r="C123" t="s">
        <v>8</v>
      </c>
      <c r="D123" t="s">
        <v>9</v>
      </c>
      <c r="E123" t="s">
        <v>15</v>
      </c>
      <c r="F123" t="s">
        <v>16</v>
      </c>
      <c r="G123">
        <v>2</v>
      </c>
      <c r="H123">
        <v>12.518628912071501</v>
      </c>
    </row>
    <row r="124" spans="1:8" x14ac:dyDescent="0.25">
      <c r="A124">
        <v>14.26</v>
      </c>
      <c r="B124">
        <v>2.5</v>
      </c>
      <c r="C124" t="s">
        <v>12</v>
      </c>
      <c r="D124" t="s">
        <v>9</v>
      </c>
      <c r="E124" t="s">
        <v>15</v>
      </c>
      <c r="F124" t="s">
        <v>16</v>
      </c>
      <c r="G124">
        <v>2</v>
      </c>
      <c r="H124">
        <v>17.531556802244001</v>
      </c>
    </row>
    <row r="125" spans="1:8" x14ac:dyDescent="0.25">
      <c r="A125">
        <v>15.95</v>
      </c>
      <c r="B125">
        <v>2</v>
      </c>
      <c r="C125" t="s">
        <v>12</v>
      </c>
      <c r="D125" t="s">
        <v>9</v>
      </c>
      <c r="E125" t="s">
        <v>15</v>
      </c>
      <c r="F125" t="s">
        <v>16</v>
      </c>
      <c r="G125">
        <v>2</v>
      </c>
      <c r="H125">
        <v>12.539184952977999</v>
      </c>
    </row>
    <row r="126" spans="1:8" x14ac:dyDescent="0.25">
      <c r="A126">
        <v>12.48</v>
      </c>
      <c r="B126">
        <v>2.52</v>
      </c>
      <c r="C126" t="s">
        <v>8</v>
      </c>
      <c r="D126" t="s">
        <v>9</v>
      </c>
      <c r="E126" t="s">
        <v>15</v>
      </c>
      <c r="F126" t="s">
        <v>16</v>
      </c>
      <c r="G126">
        <v>2</v>
      </c>
      <c r="H126">
        <v>20.192307692307601</v>
      </c>
    </row>
    <row r="127" spans="1:8" x14ac:dyDescent="0.25">
      <c r="A127">
        <v>29.8</v>
      </c>
      <c r="B127">
        <v>4.2</v>
      </c>
      <c r="C127" t="s">
        <v>8</v>
      </c>
      <c r="D127" t="s">
        <v>9</v>
      </c>
      <c r="E127" t="s">
        <v>15</v>
      </c>
      <c r="F127" t="s">
        <v>16</v>
      </c>
      <c r="G127">
        <v>6</v>
      </c>
      <c r="H127">
        <v>14.093959731543601</v>
      </c>
    </row>
    <row r="128" spans="1:8" x14ac:dyDescent="0.25">
      <c r="A128">
        <v>8.52</v>
      </c>
      <c r="B128">
        <v>1.48</v>
      </c>
      <c r="C128" t="s">
        <v>12</v>
      </c>
      <c r="D128" t="s">
        <v>9</v>
      </c>
      <c r="E128" t="s">
        <v>15</v>
      </c>
      <c r="F128" t="s">
        <v>16</v>
      </c>
      <c r="G128">
        <v>2</v>
      </c>
      <c r="H128">
        <v>17.370892018779301</v>
      </c>
    </row>
    <row r="129" spans="1:8" x14ac:dyDescent="0.25">
      <c r="A129">
        <v>14.52</v>
      </c>
      <c r="B129">
        <v>2</v>
      </c>
      <c r="C129" t="s">
        <v>8</v>
      </c>
      <c r="D129" t="s">
        <v>9</v>
      </c>
      <c r="E129" t="s">
        <v>15</v>
      </c>
      <c r="F129" t="s">
        <v>16</v>
      </c>
      <c r="G129">
        <v>2</v>
      </c>
      <c r="H129">
        <v>13.7741046831955</v>
      </c>
    </row>
    <row r="130" spans="1:8" x14ac:dyDescent="0.25">
      <c r="A130">
        <v>11.38</v>
      </c>
      <c r="B130">
        <v>2</v>
      </c>
      <c r="C130" t="s">
        <v>8</v>
      </c>
      <c r="D130" t="s">
        <v>9</v>
      </c>
      <c r="E130" t="s">
        <v>15</v>
      </c>
      <c r="F130" t="s">
        <v>16</v>
      </c>
      <c r="G130">
        <v>2</v>
      </c>
      <c r="H130">
        <v>17.574692442882199</v>
      </c>
    </row>
    <row r="131" spans="1:8" x14ac:dyDescent="0.25">
      <c r="A131">
        <v>22.82</v>
      </c>
      <c r="B131">
        <v>2.1800000000000002</v>
      </c>
      <c r="C131" t="s">
        <v>12</v>
      </c>
      <c r="D131" t="s">
        <v>9</v>
      </c>
      <c r="E131" t="s">
        <v>15</v>
      </c>
      <c r="F131" t="s">
        <v>16</v>
      </c>
      <c r="G131">
        <v>3</v>
      </c>
      <c r="H131">
        <v>9.5530236634531107</v>
      </c>
    </row>
    <row r="132" spans="1:8" x14ac:dyDescent="0.25">
      <c r="A132">
        <v>19.079999999999998</v>
      </c>
      <c r="B132">
        <v>1.5</v>
      </c>
      <c r="C132" t="s">
        <v>12</v>
      </c>
      <c r="D132" t="s">
        <v>9</v>
      </c>
      <c r="E132" t="s">
        <v>15</v>
      </c>
      <c r="F132" t="s">
        <v>16</v>
      </c>
      <c r="G132">
        <v>2</v>
      </c>
      <c r="H132">
        <v>7.8616352201257804</v>
      </c>
    </row>
    <row r="133" spans="1:8" x14ac:dyDescent="0.25">
      <c r="A133">
        <v>20.27</v>
      </c>
      <c r="B133">
        <v>2.83</v>
      </c>
      <c r="C133" t="s">
        <v>8</v>
      </c>
      <c r="D133" t="s">
        <v>9</v>
      </c>
      <c r="E133" t="s">
        <v>15</v>
      </c>
      <c r="F133" t="s">
        <v>16</v>
      </c>
      <c r="G133">
        <v>2</v>
      </c>
      <c r="H133">
        <v>13.961519486926401</v>
      </c>
    </row>
    <row r="134" spans="1:8" x14ac:dyDescent="0.25">
      <c r="A134">
        <v>11.17</v>
      </c>
      <c r="B134">
        <v>1.5</v>
      </c>
      <c r="C134" t="s">
        <v>8</v>
      </c>
      <c r="D134" t="s">
        <v>9</v>
      </c>
      <c r="E134" t="s">
        <v>15</v>
      </c>
      <c r="F134" t="s">
        <v>16</v>
      </c>
      <c r="G134">
        <v>2</v>
      </c>
      <c r="H134">
        <v>13.428827215756399</v>
      </c>
    </row>
    <row r="135" spans="1:8" x14ac:dyDescent="0.25">
      <c r="A135">
        <v>12.26</v>
      </c>
      <c r="B135">
        <v>2</v>
      </c>
      <c r="C135" t="s">
        <v>8</v>
      </c>
      <c r="D135" t="s">
        <v>9</v>
      </c>
      <c r="E135" t="s">
        <v>15</v>
      </c>
      <c r="F135" t="s">
        <v>16</v>
      </c>
      <c r="G135">
        <v>2</v>
      </c>
      <c r="H135">
        <v>16.3132137030995</v>
      </c>
    </row>
    <row r="136" spans="1:8" x14ac:dyDescent="0.25">
      <c r="A136">
        <v>18.260000000000002</v>
      </c>
      <c r="B136">
        <v>3.25</v>
      </c>
      <c r="C136" t="s">
        <v>8</v>
      </c>
      <c r="D136" t="s">
        <v>9</v>
      </c>
      <c r="E136" t="s">
        <v>15</v>
      </c>
      <c r="F136" t="s">
        <v>16</v>
      </c>
      <c r="G136">
        <v>2</v>
      </c>
      <c r="H136">
        <v>17.798466593647301</v>
      </c>
    </row>
    <row r="137" spans="1:8" x14ac:dyDescent="0.25">
      <c r="A137">
        <v>8.51</v>
      </c>
      <c r="B137">
        <v>1.25</v>
      </c>
      <c r="C137" t="s">
        <v>8</v>
      </c>
      <c r="D137" t="s">
        <v>9</v>
      </c>
      <c r="E137" t="s">
        <v>15</v>
      </c>
      <c r="F137" t="s">
        <v>16</v>
      </c>
      <c r="G137">
        <v>2</v>
      </c>
      <c r="H137">
        <v>14.688601645123301</v>
      </c>
    </row>
    <row r="138" spans="1:8" x14ac:dyDescent="0.25">
      <c r="A138">
        <v>10.33</v>
      </c>
      <c r="B138">
        <v>2</v>
      </c>
      <c r="C138" t="s">
        <v>8</v>
      </c>
      <c r="D138" t="s">
        <v>9</v>
      </c>
      <c r="E138" t="s">
        <v>15</v>
      </c>
      <c r="F138" t="s">
        <v>16</v>
      </c>
      <c r="G138">
        <v>2</v>
      </c>
      <c r="H138">
        <v>19.3610842207163</v>
      </c>
    </row>
    <row r="139" spans="1:8" x14ac:dyDescent="0.25">
      <c r="A139">
        <v>14.15</v>
      </c>
      <c r="B139">
        <v>2</v>
      </c>
      <c r="C139" t="s">
        <v>8</v>
      </c>
      <c r="D139" t="s">
        <v>9</v>
      </c>
      <c r="E139" t="s">
        <v>15</v>
      </c>
      <c r="F139" t="s">
        <v>16</v>
      </c>
      <c r="G139">
        <v>2</v>
      </c>
      <c r="H139">
        <v>14.134275618374501</v>
      </c>
    </row>
    <row r="140" spans="1:8" x14ac:dyDescent="0.25">
      <c r="A140">
        <v>16</v>
      </c>
      <c r="B140">
        <v>2</v>
      </c>
      <c r="C140" t="s">
        <v>12</v>
      </c>
      <c r="D140" t="s">
        <v>14</v>
      </c>
      <c r="E140" t="s">
        <v>15</v>
      </c>
      <c r="F140" t="s">
        <v>16</v>
      </c>
      <c r="G140">
        <v>2</v>
      </c>
      <c r="H140">
        <v>12.5</v>
      </c>
    </row>
    <row r="141" spans="1:8" x14ac:dyDescent="0.25">
      <c r="A141">
        <v>13.16</v>
      </c>
      <c r="B141">
        <v>2.75</v>
      </c>
      <c r="C141" t="s">
        <v>8</v>
      </c>
      <c r="D141" t="s">
        <v>9</v>
      </c>
      <c r="E141" t="s">
        <v>15</v>
      </c>
      <c r="F141" t="s">
        <v>16</v>
      </c>
      <c r="G141">
        <v>2</v>
      </c>
      <c r="H141">
        <v>20.896656534954399</v>
      </c>
    </row>
    <row r="142" spans="1:8" x14ac:dyDescent="0.25">
      <c r="A142">
        <v>17.47</v>
      </c>
      <c r="B142">
        <v>3.5</v>
      </c>
      <c r="C142" t="s">
        <v>8</v>
      </c>
      <c r="D142" t="s">
        <v>9</v>
      </c>
      <c r="E142" t="s">
        <v>15</v>
      </c>
      <c r="F142" t="s">
        <v>16</v>
      </c>
      <c r="G142">
        <v>2</v>
      </c>
      <c r="H142">
        <v>20.034344590726899</v>
      </c>
    </row>
    <row r="143" spans="1:8" x14ac:dyDescent="0.25">
      <c r="A143">
        <v>34.299999999999997</v>
      </c>
      <c r="B143">
        <v>6.7</v>
      </c>
      <c r="C143" t="s">
        <v>12</v>
      </c>
      <c r="D143" t="s">
        <v>9</v>
      </c>
      <c r="E143" t="s">
        <v>15</v>
      </c>
      <c r="F143" t="s">
        <v>16</v>
      </c>
      <c r="G143">
        <v>6</v>
      </c>
      <c r="H143">
        <v>19.533527696793001</v>
      </c>
    </row>
    <row r="144" spans="1:8" x14ac:dyDescent="0.25">
      <c r="A144">
        <v>41.19</v>
      </c>
      <c r="B144">
        <v>5</v>
      </c>
      <c r="C144" t="s">
        <v>12</v>
      </c>
      <c r="D144" t="s">
        <v>9</v>
      </c>
      <c r="E144" t="s">
        <v>15</v>
      </c>
      <c r="F144" t="s">
        <v>16</v>
      </c>
      <c r="G144">
        <v>5</v>
      </c>
      <c r="H144">
        <v>12.138868657441099</v>
      </c>
    </row>
    <row r="145" spans="1:8" x14ac:dyDescent="0.25">
      <c r="A145">
        <v>27.05</v>
      </c>
      <c r="B145">
        <v>5</v>
      </c>
      <c r="C145" t="s">
        <v>8</v>
      </c>
      <c r="D145" t="s">
        <v>9</v>
      </c>
      <c r="E145" t="s">
        <v>15</v>
      </c>
      <c r="F145" t="s">
        <v>16</v>
      </c>
      <c r="G145">
        <v>6</v>
      </c>
      <c r="H145">
        <v>18.4842883548983</v>
      </c>
    </row>
    <row r="146" spans="1:8" x14ac:dyDescent="0.25">
      <c r="A146">
        <v>16.43</v>
      </c>
      <c r="B146">
        <v>2.2999999999999998</v>
      </c>
      <c r="C146" t="s">
        <v>8</v>
      </c>
      <c r="D146" t="s">
        <v>9</v>
      </c>
      <c r="E146" t="s">
        <v>15</v>
      </c>
      <c r="F146" t="s">
        <v>16</v>
      </c>
      <c r="G146">
        <v>2</v>
      </c>
      <c r="H146">
        <v>13.9987827145465</v>
      </c>
    </row>
    <row r="147" spans="1:8" x14ac:dyDescent="0.25">
      <c r="A147">
        <v>8.35</v>
      </c>
      <c r="B147">
        <v>1.5</v>
      </c>
      <c r="C147" t="s">
        <v>8</v>
      </c>
      <c r="D147" t="s">
        <v>9</v>
      </c>
      <c r="E147" t="s">
        <v>15</v>
      </c>
      <c r="F147" t="s">
        <v>16</v>
      </c>
      <c r="G147">
        <v>2</v>
      </c>
      <c r="H147">
        <v>17.964071856287401</v>
      </c>
    </row>
    <row r="148" spans="1:8" x14ac:dyDescent="0.25">
      <c r="A148">
        <v>18.64</v>
      </c>
      <c r="B148">
        <v>1.36</v>
      </c>
      <c r="C148" t="s">
        <v>8</v>
      </c>
      <c r="D148" t="s">
        <v>9</v>
      </c>
      <c r="E148" t="s">
        <v>15</v>
      </c>
      <c r="F148" t="s">
        <v>16</v>
      </c>
      <c r="G148">
        <v>3</v>
      </c>
      <c r="H148">
        <v>7.2961373390557904</v>
      </c>
    </row>
    <row r="149" spans="1:8" x14ac:dyDescent="0.25">
      <c r="A149">
        <v>11.87</v>
      </c>
      <c r="B149">
        <v>1.63</v>
      </c>
      <c r="C149" t="s">
        <v>8</v>
      </c>
      <c r="D149" t="s">
        <v>9</v>
      </c>
      <c r="E149" t="s">
        <v>15</v>
      </c>
      <c r="F149" t="s">
        <v>16</v>
      </c>
      <c r="G149">
        <v>2</v>
      </c>
      <c r="H149">
        <v>13.732097725358001</v>
      </c>
    </row>
    <row r="150" spans="1:8" x14ac:dyDescent="0.25">
      <c r="A150">
        <v>9.7799999999999994</v>
      </c>
      <c r="B150">
        <v>1.73</v>
      </c>
      <c r="C150" t="s">
        <v>12</v>
      </c>
      <c r="D150" t="s">
        <v>9</v>
      </c>
      <c r="E150" t="s">
        <v>15</v>
      </c>
      <c r="F150" t="s">
        <v>16</v>
      </c>
      <c r="G150">
        <v>2</v>
      </c>
      <c r="H150">
        <v>17.6891615541922</v>
      </c>
    </row>
    <row r="151" spans="1:8" x14ac:dyDescent="0.25">
      <c r="A151">
        <v>7.51</v>
      </c>
      <c r="B151">
        <v>2</v>
      </c>
      <c r="C151" t="s">
        <v>12</v>
      </c>
      <c r="D151" t="s">
        <v>9</v>
      </c>
      <c r="E151" t="s">
        <v>15</v>
      </c>
      <c r="F151" t="s">
        <v>16</v>
      </c>
      <c r="G151">
        <v>2</v>
      </c>
      <c r="H151">
        <v>26.6311584553928</v>
      </c>
    </row>
    <row r="152" spans="1:8" x14ac:dyDescent="0.25">
      <c r="A152">
        <v>14.07</v>
      </c>
      <c r="B152">
        <v>2.5</v>
      </c>
      <c r="C152" t="s">
        <v>12</v>
      </c>
      <c r="D152" t="s">
        <v>9</v>
      </c>
      <c r="E152" t="s">
        <v>10</v>
      </c>
      <c r="F152" t="s">
        <v>11</v>
      </c>
      <c r="G152">
        <v>2</v>
      </c>
      <c r="H152">
        <v>17.7683013503909</v>
      </c>
    </row>
    <row r="153" spans="1:8" x14ac:dyDescent="0.25">
      <c r="A153">
        <v>13.13</v>
      </c>
      <c r="B153">
        <v>2</v>
      </c>
      <c r="C153" t="s">
        <v>12</v>
      </c>
      <c r="D153" t="s">
        <v>9</v>
      </c>
      <c r="E153" t="s">
        <v>10</v>
      </c>
      <c r="F153" t="s">
        <v>11</v>
      </c>
      <c r="G153">
        <v>2</v>
      </c>
      <c r="H153">
        <v>15.2322924600152</v>
      </c>
    </row>
    <row r="154" spans="1:8" x14ac:dyDescent="0.25">
      <c r="A154">
        <v>17.260000000000002</v>
      </c>
      <c r="B154">
        <v>2.74</v>
      </c>
      <c r="C154" t="s">
        <v>12</v>
      </c>
      <c r="D154" t="s">
        <v>9</v>
      </c>
      <c r="E154" t="s">
        <v>10</v>
      </c>
      <c r="F154" t="s">
        <v>11</v>
      </c>
      <c r="G154">
        <v>3</v>
      </c>
      <c r="H154">
        <v>15.874855156431</v>
      </c>
    </row>
    <row r="155" spans="1:8" x14ac:dyDescent="0.25">
      <c r="A155">
        <v>24.55</v>
      </c>
      <c r="B155">
        <v>2</v>
      </c>
      <c r="C155" t="s">
        <v>12</v>
      </c>
      <c r="D155" t="s">
        <v>9</v>
      </c>
      <c r="E155" t="s">
        <v>10</v>
      </c>
      <c r="F155" t="s">
        <v>11</v>
      </c>
      <c r="G155">
        <v>4</v>
      </c>
      <c r="H155">
        <v>8.1466395112016201</v>
      </c>
    </row>
    <row r="156" spans="1:8" x14ac:dyDescent="0.25">
      <c r="A156">
        <v>19.77</v>
      </c>
      <c r="B156">
        <v>2</v>
      </c>
      <c r="C156" t="s">
        <v>12</v>
      </c>
      <c r="D156" t="s">
        <v>9</v>
      </c>
      <c r="E156" t="s">
        <v>10</v>
      </c>
      <c r="F156" t="s">
        <v>11</v>
      </c>
      <c r="G156">
        <v>4</v>
      </c>
      <c r="H156">
        <v>10.116337885685301</v>
      </c>
    </row>
    <row r="157" spans="1:8" x14ac:dyDescent="0.25">
      <c r="A157">
        <v>29.85</v>
      </c>
      <c r="B157">
        <v>5.14</v>
      </c>
      <c r="C157" t="s">
        <v>8</v>
      </c>
      <c r="D157" t="s">
        <v>9</v>
      </c>
      <c r="E157" t="s">
        <v>10</v>
      </c>
      <c r="F157" t="s">
        <v>11</v>
      </c>
      <c r="G157">
        <v>5</v>
      </c>
      <c r="H157">
        <v>17.2194304857621</v>
      </c>
    </row>
    <row r="158" spans="1:8" x14ac:dyDescent="0.25">
      <c r="A158">
        <v>48.17</v>
      </c>
      <c r="B158">
        <v>5</v>
      </c>
      <c r="C158" t="s">
        <v>12</v>
      </c>
      <c r="D158" t="s">
        <v>9</v>
      </c>
      <c r="E158" t="s">
        <v>10</v>
      </c>
      <c r="F158" t="s">
        <v>11</v>
      </c>
      <c r="G158">
        <v>6</v>
      </c>
      <c r="H158">
        <v>10.3799045048785</v>
      </c>
    </row>
    <row r="159" spans="1:8" x14ac:dyDescent="0.25">
      <c r="A159">
        <v>25</v>
      </c>
      <c r="B159">
        <v>3.75</v>
      </c>
      <c r="C159" t="s">
        <v>8</v>
      </c>
      <c r="D159" t="s">
        <v>9</v>
      </c>
      <c r="E159" t="s">
        <v>10</v>
      </c>
      <c r="F159" t="s">
        <v>11</v>
      </c>
      <c r="G159">
        <v>4</v>
      </c>
      <c r="H159">
        <v>15</v>
      </c>
    </row>
    <row r="160" spans="1:8" x14ac:dyDescent="0.25">
      <c r="A160">
        <v>13.39</v>
      </c>
      <c r="B160">
        <v>2.61</v>
      </c>
      <c r="C160" t="s">
        <v>8</v>
      </c>
      <c r="D160" t="s">
        <v>9</v>
      </c>
      <c r="E160" t="s">
        <v>10</v>
      </c>
      <c r="F160" t="s">
        <v>11</v>
      </c>
      <c r="G160">
        <v>2</v>
      </c>
      <c r="H160">
        <v>19.492158327109699</v>
      </c>
    </row>
    <row r="161" spans="1:8" x14ac:dyDescent="0.25">
      <c r="A161">
        <v>16.489999999999998</v>
      </c>
      <c r="B161">
        <v>2</v>
      </c>
      <c r="C161" t="s">
        <v>12</v>
      </c>
      <c r="D161" t="s">
        <v>9</v>
      </c>
      <c r="E161" t="s">
        <v>10</v>
      </c>
      <c r="F161" t="s">
        <v>11</v>
      </c>
      <c r="G161">
        <v>4</v>
      </c>
      <c r="H161">
        <v>12.128562765312299</v>
      </c>
    </row>
    <row r="162" spans="1:8" x14ac:dyDescent="0.25">
      <c r="A162">
        <v>21.5</v>
      </c>
      <c r="B162">
        <v>3.5</v>
      </c>
      <c r="C162" t="s">
        <v>12</v>
      </c>
      <c r="D162" t="s">
        <v>9</v>
      </c>
      <c r="E162" t="s">
        <v>10</v>
      </c>
      <c r="F162" t="s">
        <v>11</v>
      </c>
      <c r="G162">
        <v>4</v>
      </c>
      <c r="H162">
        <v>16.279069767441801</v>
      </c>
    </row>
    <row r="163" spans="1:8" x14ac:dyDescent="0.25">
      <c r="A163">
        <v>12.66</v>
      </c>
      <c r="B163">
        <v>2.5</v>
      </c>
      <c r="C163" t="s">
        <v>12</v>
      </c>
      <c r="D163" t="s">
        <v>9</v>
      </c>
      <c r="E163" t="s">
        <v>10</v>
      </c>
      <c r="F163" t="s">
        <v>11</v>
      </c>
      <c r="G163">
        <v>2</v>
      </c>
      <c r="H163">
        <v>19.747235387045802</v>
      </c>
    </row>
    <row r="164" spans="1:8" x14ac:dyDescent="0.25">
      <c r="A164">
        <v>16.21</v>
      </c>
      <c r="B164">
        <v>2</v>
      </c>
      <c r="C164" t="s">
        <v>8</v>
      </c>
      <c r="D164" t="s">
        <v>9</v>
      </c>
      <c r="E164" t="s">
        <v>10</v>
      </c>
      <c r="F164" t="s">
        <v>11</v>
      </c>
      <c r="G164">
        <v>3</v>
      </c>
      <c r="H164">
        <v>12.3380629241209</v>
      </c>
    </row>
    <row r="165" spans="1:8" x14ac:dyDescent="0.25">
      <c r="A165">
        <v>13.81</v>
      </c>
      <c r="B165">
        <v>2</v>
      </c>
      <c r="C165" t="s">
        <v>12</v>
      </c>
      <c r="D165" t="s">
        <v>9</v>
      </c>
      <c r="E165" t="s">
        <v>10</v>
      </c>
      <c r="F165" t="s">
        <v>11</v>
      </c>
      <c r="G165">
        <v>2</v>
      </c>
      <c r="H165">
        <v>14.4822592324402</v>
      </c>
    </row>
    <row r="166" spans="1:8" x14ac:dyDescent="0.25">
      <c r="A166">
        <v>17.510000000000002</v>
      </c>
      <c r="B166">
        <v>3</v>
      </c>
      <c r="C166" t="s">
        <v>8</v>
      </c>
      <c r="D166" t="s">
        <v>14</v>
      </c>
      <c r="E166" t="s">
        <v>10</v>
      </c>
      <c r="F166" t="s">
        <v>11</v>
      </c>
      <c r="G166">
        <v>2</v>
      </c>
      <c r="H166">
        <v>17.133066818960501</v>
      </c>
    </row>
    <row r="167" spans="1:8" x14ac:dyDescent="0.25">
      <c r="A167">
        <v>24.52</v>
      </c>
      <c r="B167">
        <v>3.48</v>
      </c>
      <c r="C167" t="s">
        <v>12</v>
      </c>
      <c r="D167" t="s">
        <v>9</v>
      </c>
      <c r="E167" t="s">
        <v>10</v>
      </c>
      <c r="F167" t="s">
        <v>11</v>
      </c>
      <c r="G167">
        <v>3</v>
      </c>
      <c r="H167">
        <v>14.1924959216965</v>
      </c>
    </row>
    <row r="168" spans="1:8" x14ac:dyDescent="0.25">
      <c r="A168">
        <v>20.76</v>
      </c>
      <c r="B168">
        <v>2.2400000000000002</v>
      </c>
      <c r="C168" t="s">
        <v>12</v>
      </c>
      <c r="D168" t="s">
        <v>9</v>
      </c>
      <c r="E168" t="s">
        <v>10</v>
      </c>
      <c r="F168" t="s">
        <v>11</v>
      </c>
      <c r="G168">
        <v>2</v>
      </c>
      <c r="H168">
        <v>10.789980732177201</v>
      </c>
    </row>
    <row r="169" spans="1:8" x14ac:dyDescent="0.25">
      <c r="A169">
        <v>31.71</v>
      </c>
      <c r="B169">
        <v>4.5</v>
      </c>
      <c r="C169" t="s">
        <v>12</v>
      </c>
      <c r="D169" t="s">
        <v>9</v>
      </c>
      <c r="E169" t="s">
        <v>10</v>
      </c>
      <c r="F169" t="s">
        <v>11</v>
      </c>
      <c r="G169">
        <v>4</v>
      </c>
      <c r="H169">
        <v>14.1911069063386</v>
      </c>
    </row>
    <row r="170" spans="1:8" x14ac:dyDescent="0.25">
      <c r="A170">
        <v>10.59</v>
      </c>
      <c r="B170">
        <v>1.61</v>
      </c>
      <c r="C170" t="s">
        <v>8</v>
      </c>
      <c r="D170" t="s">
        <v>14</v>
      </c>
      <c r="E170" t="s">
        <v>13</v>
      </c>
      <c r="F170" t="s">
        <v>11</v>
      </c>
      <c r="G170">
        <v>2</v>
      </c>
      <c r="H170">
        <v>15.2030217186024</v>
      </c>
    </row>
    <row r="171" spans="1:8" x14ac:dyDescent="0.25">
      <c r="A171">
        <v>10.63</v>
      </c>
      <c r="B171">
        <v>2</v>
      </c>
      <c r="C171" t="s">
        <v>8</v>
      </c>
      <c r="D171" t="s">
        <v>14</v>
      </c>
      <c r="E171" t="s">
        <v>13</v>
      </c>
      <c r="F171" t="s">
        <v>11</v>
      </c>
      <c r="G171">
        <v>2</v>
      </c>
      <c r="H171">
        <v>18.814675446848501</v>
      </c>
    </row>
    <row r="172" spans="1:8" x14ac:dyDescent="0.25">
      <c r="A172">
        <v>50.81</v>
      </c>
      <c r="B172">
        <v>10</v>
      </c>
      <c r="C172" t="s">
        <v>12</v>
      </c>
      <c r="D172" t="s">
        <v>14</v>
      </c>
      <c r="E172" t="s">
        <v>13</v>
      </c>
      <c r="F172" t="s">
        <v>11</v>
      </c>
      <c r="G172">
        <v>3</v>
      </c>
      <c r="H172">
        <v>19.681165124975301</v>
      </c>
    </row>
    <row r="173" spans="1:8" x14ac:dyDescent="0.25">
      <c r="A173">
        <v>15.81</v>
      </c>
      <c r="B173">
        <v>3.16</v>
      </c>
      <c r="C173" t="s">
        <v>12</v>
      </c>
      <c r="D173" t="s">
        <v>14</v>
      </c>
      <c r="E173" t="s">
        <v>13</v>
      </c>
      <c r="F173" t="s">
        <v>11</v>
      </c>
      <c r="G173">
        <v>2</v>
      </c>
      <c r="H173">
        <v>19.987349778621098</v>
      </c>
    </row>
    <row r="174" spans="1:8" x14ac:dyDescent="0.25">
      <c r="A174">
        <v>7.25</v>
      </c>
      <c r="B174">
        <v>5.15</v>
      </c>
      <c r="C174" t="s">
        <v>12</v>
      </c>
      <c r="D174" t="s">
        <v>14</v>
      </c>
      <c r="E174" t="s">
        <v>10</v>
      </c>
      <c r="F174" t="s">
        <v>11</v>
      </c>
      <c r="G174">
        <v>2</v>
      </c>
      <c r="H174">
        <v>71.034482758620697</v>
      </c>
    </row>
    <row r="175" spans="1:8" x14ac:dyDescent="0.25">
      <c r="A175">
        <v>31.85</v>
      </c>
      <c r="B175">
        <v>3.18</v>
      </c>
      <c r="C175" t="s">
        <v>12</v>
      </c>
      <c r="D175" t="s">
        <v>14</v>
      </c>
      <c r="E175" t="s">
        <v>10</v>
      </c>
      <c r="F175" t="s">
        <v>11</v>
      </c>
      <c r="G175">
        <v>2</v>
      </c>
      <c r="H175">
        <v>9.9843014128728402</v>
      </c>
    </row>
    <row r="176" spans="1:8" x14ac:dyDescent="0.25">
      <c r="A176">
        <v>16.82</v>
      </c>
      <c r="B176">
        <v>4</v>
      </c>
      <c r="C176" t="s">
        <v>12</v>
      </c>
      <c r="D176" t="s">
        <v>14</v>
      </c>
      <c r="E176" t="s">
        <v>10</v>
      </c>
      <c r="F176" t="s">
        <v>11</v>
      </c>
      <c r="G176">
        <v>2</v>
      </c>
      <c r="H176">
        <v>23.781212841854899</v>
      </c>
    </row>
    <row r="177" spans="1:8" x14ac:dyDescent="0.25">
      <c r="A177">
        <v>32.9</v>
      </c>
      <c r="B177">
        <v>3.11</v>
      </c>
      <c r="C177" t="s">
        <v>12</v>
      </c>
      <c r="D177" t="s">
        <v>14</v>
      </c>
      <c r="E177" t="s">
        <v>10</v>
      </c>
      <c r="F177" t="s">
        <v>11</v>
      </c>
      <c r="G177">
        <v>2</v>
      </c>
      <c r="H177">
        <v>9.4528875379939201</v>
      </c>
    </row>
    <row r="178" spans="1:8" x14ac:dyDescent="0.25">
      <c r="A178">
        <v>17.89</v>
      </c>
      <c r="B178">
        <v>2</v>
      </c>
      <c r="C178" t="s">
        <v>12</v>
      </c>
      <c r="D178" t="s">
        <v>14</v>
      </c>
      <c r="E178" t="s">
        <v>10</v>
      </c>
      <c r="F178" t="s">
        <v>11</v>
      </c>
      <c r="G178">
        <v>2</v>
      </c>
      <c r="H178">
        <v>11.1794298490776</v>
      </c>
    </row>
    <row r="179" spans="1:8" x14ac:dyDescent="0.25">
      <c r="A179">
        <v>14.48</v>
      </c>
      <c r="B179">
        <v>2</v>
      </c>
      <c r="C179" t="s">
        <v>12</v>
      </c>
      <c r="D179" t="s">
        <v>14</v>
      </c>
      <c r="E179" t="s">
        <v>10</v>
      </c>
      <c r="F179" t="s">
        <v>11</v>
      </c>
      <c r="G179">
        <v>2</v>
      </c>
      <c r="H179">
        <v>13.812154696132501</v>
      </c>
    </row>
    <row r="180" spans="1:8" x14ac:dyDescent="0.25">
      <c r="A180">
        <v>9.6</v>
      </c>
      <c r="B180">
        <v>4</v>
      </c>
      <c r="C180" t="s">
        <v>8</v>
      </c>
      <c r="D180" t="s">
        <v>14</v>
      </c>
      <c r="E180" t="s">
        <v>10</v>
      </c>
      <c r="F180" t="s">
        <v>11</v>
      </c>
      <c r="G180">
        <v>2</v>
      </c>
      <c r="H180">
        <v>41.6666666666666</v>
      </c>
    </row>
    <row r="181" spans="1:8" x14ac:dyDescent="0.25">
      <c r="A181">
        <v>34.630000000000003</v>
      </c>
      <c r="B181">
        <v>3.55</v>
      </c>
      <c r="C181" t="s">
        <v>12</v>
      </c>
      <c r="D181" t="s">
        <v>14</v>
      </c>
      <c r="E181" t="s">
        <v>10</v>
      </c>
      <c r="F181" t="s">
        <v>11</v>
      </c>
      <c r="G181">
        <v>2</v>
      </c>
      <c r="H181">
        <v>10.251227259601499</v>
      </c>
    </row>
    <row r="182" spans="1:8" x14ac:dyDescent="0.25">
      <c r="A182">
        <v>34.65</v>
      </c>
      <c r="B182">
        <v>3.68</v>
      </c>
      <c r="C182" t="s">
        <v>12</v>
      </c>
      <c r="D182" t="s">
        <v>14</v>
      </c>
      <c r="E182" t="s">
        <v>10</v>
      </c>
      <c r="F182" t="s">
        <v>11</v>
      </c>
      <c r="G182">
        <v>4</v>
      </c>
      <c r="H182">
        <v>10.6204906204906</v>
      </c>
    </row>
    <row r="183" spans="1:8" x14ac:dyDescent="0.25">
      <c r="A183">
        <v>23.33</v>
      </c>
      <c r="B183">
        <v>5.65</v>
      </c>
      <c r="C183" t="s">
        <v>12</v>
      </c>
      <c r="D183" t="s">
        <v>14</v>
      </c>
      <c r="E183" t="s">
        <v>10</v>
      </c>
      <c r="F183" t="s">
        <v>11</v>
      </c>
      <c r="G183">
        <v>2</v>
      </c>
      <c r="H183">
        <v>24.2177453921988</v>
      </c>
    </row>
    <row r="184" spans="1:8" x14ac:dyDescent="0.25">
      <c r="A184">
        <v>45.35</v>
      </c>
      <c r="B184">
        <v>3.5</v>
      </c>
      <c r="C184" t="s">
        <v>12</v>
      </c>
      <c r="D184" t="s">
        <v>14</v>
      </c>
      <c r="E184" t="s">
        <v>10</v>
      </c>
      <c r="F184" t="s">
        <v>11</v>
      </c>
      <c r="G184">
        <v>3</v>
      </c>
      <c r="H184">
        <v>7.7177508269018702</v>
      </c>
    </row>
    <row r="185" spans="1:8" x14ac:dyDescent="0.25">
      <c r="A185">
        <v>23.17</v>
      </c>
      <c r="B185">
        <v>6.5</v>
      </c>
      <c r="C185" t="s">
        <v>12</v>
      </c>
      <c r="D185" t="s">
        <v>14</v>
      </c>
      <c r="E185" t="s">
        <v>10</v>
      </c>
      <c r="F185" t="s">
        <v>11</v>
      </c>
      <c r="G185">
        <v>4</v>
      </c>
      <c r="H185">
        <v>28.053517479499298</v>
      </c>
    </row>
    <row r="186" spans="1:8" x14ac:dyDescent="0.25">
      <c r="A186">
        <v>40.549999999999997</v>
      </c>
      <c r="B186">
        <v>3</v>
      </c>
      <c r="C186" t="s">
        <v>12</v>
      </c>
      <c r="D186" t="s">
        <v>14</v>
      </c>
      <c r="E186" t="s">
        <v>10</v>
      </c>
      <c r="F186" t="s">
        <v>11</v>
      </c>
      <c r="G186">
        <v>2</v>
      </c>
      <c r="H186">
        <v>7.39827373612823</v>
      </c>
    </row>
    <row r="187" spans="1:8" x14ac:dyDescent="0.25">
      <c r="A187">
        <v>20.69</v>
      </c>
      <c r="B187">
        <v>5</v>
      </c>
      <c r="C187" t="s">
        <v>12</v>
      </c>
      <c r="D187" t="s">
        <v>9</v>
      </c>
      <c r="E187" t="s">
        <v>10</v>
      </c>
      <c r="F187" t="s">
        <v>11</v>
      </c>
      <c r="G187">
        <v>5</v>
      </c>
      <c r="H187">
        <v>24.166263895601698</v>
      </c>
    </row>
    <row r="188" spans="1:8" x14ac:dyDescent="0.25">
      <c r="A188">
        <v>20.9</v>
      </c>
      <c r="B188">
        <v>3.5</v>
      </c>
      <c r="C188" t="s">
        <v>8</v>
      </c>
      <c r="D188" t="s">
        <v>14</v>
      </c>
      <c r="E188" t="s">
        <v>10</v>
      </c>
      <c r="F188" t="s">
        <v>11</v>
      </c>
      <c r="G188">
        <v>3</v>
      </c>
      <c r="H188">
        <v>16.7464114832535</v>
      </c>
    </row>
    <row r="189" spans="1:8" x14ac:dyDescent="0.25">
      <c r="A189">
        <v>30.46</v>
      </c>
      <c r="B189">
        <v>2</v>
      </c>
      <c r="C189" t="s">
        <v>12</v>
      </c>
      <c r="D189" t="s">
        <v>14</v>
      </c>
      <c r="E189" t="s">
        <v>10</v>
      </c>
      <c r="F189" t="s">
        <v>11</v>
      </c>
      <c r="G189">
        <v>5</v>
      </c>
      <c r="H189">
        <v>6.5659881812212699</v>
      </c>
    </row>
    <row r="190" spans="1:8" x14ac:dyDescent="0.25">
      <c r="A190">
        <v>18.149999999999999</v>
      </c>
      <c r="B190">
        <v>3.5</v>
      </c>
      <c r="C190" t="s">
        <v>8</v>
      </c>
      <c r="D190" t="s">
        <v>14</v>
      </c>
      <c r="E190" t="s">
        <v>10</v>
      </c>
      <c r="F190" t="s">
        <v>11</v>
      </c>
      <c r="G190">
        <v>3</v>
      </c>
      <c r="H190">
        <v>19.283746556473801</v>
      </c>
    </row>
    <row r="191" spans="1:8" x14ac:dyDescent="0.25">
      <c r="A191">
        <v>23.1</v>
      </c>
      <c r="B191">
        <v>4</v>
      </c>
      <c r="C191" t="s">
        <v>12</v>
      </c>
      <c r="D191" t="s">
        <v>14</v>
      </c>
      <c r="E191" t="s">
        <v>10</v>
      </c>
      <c r="F191" t="s">
        <v>11</v>
      </c>
      <c r="G191">
        <v>3</v>
      </c>
      <c r="H191">
        <v>17.316017316017302</v>
      </c>
    </row>
    <row r="192" spans="1:8" x14ac:dyDescent="0.25">
      <c r="A192">
        <v>15.69</v>
      </c>
      <c r="B192">
        <v>1.5</v>
      </c>
      <c r="C192" t="s">
        <v>12</v>
      </c>
      <c r="D192" t="s">
        <v>14</v>
      </c>
      <c r="E192" t="s">
        <v>10</v>
      </c>
      <c r="F192" t="s">
        <v>11</v>
      </c>
      <c r="G192">
        <v>2</v>
      </c>
      <c r="H192">
        <v>9.5602294455066907</v>
      </c>
    </row>
    <row r="193" spans="1:8" x14ac:dyDescent="0.25">
      <c r="A193">
        <v>19.809999999999999</v>
      </c>
      <c r="B193">
        <v>4.1900000000000004</v>
      </c>
      <c r="C193" t="s">
        <v>8</v>
      </c>
      <c r="D193" t="s">
        <v>14</v>
      </c>
      <c r="E193" t="s">
        <v>15</v>
      </c>
      <c r="F193" t="s">
        <v>16</v>
      </c>
      <c r="G193">
        <v>2</v>
      </c>
      <c r="H193">
        <v>21.150933871781898</v>
      </c>
    </row>
    <row r="194" spans="1:8" x14ac:dyDescent="0.25">
      <c r="A194">
        <v>28.44</v>
      </c>
      <c r="B194">
        <v>2.56</v>
      </c>
      <c r="C194" t="s">
        <v>12</v>
      </c>
      <c r="D194" t="s">
        <v>14</v>
      </c>
      <c r="E194" t="s">
        <v>15</v>
      </c>
      <c r="F194" t="s">
        <v>16</v>
      </c>
      <c r="G194">
        <v>2</v>
      </c>
      <c r="H194">
        <v>9.0014064697608998</v>
      </c>
    </row>
    <row r="195" spans="1:8" x14ac:dyDescent="0.25">
      <c r="A195">
        <v>15.48</v>
      </c>
      <c r="B195">
        <v>2.02</v>
      </c>
      <c r="C195" t="s">
        <v>12</v>
      </c>
      <c r="D195" t="s">
        <v>14</v>
      </c>
      <c r="E195" t="s">
        <v>15</v>
      </c>
      <c r="F195" t="s">
        <v>16</v>
      </c>
      <c r="G195">
        <v>2</v>
      </c>
      <c r="H195">
        <v>13.049095607235101</v>
      </c>
    </row>
    <row r="196" spans="1:8" x14ac:dyDescent="0.25">
      <c r="A196">
        <v>16.579999999999998</v>
      </c>
      <c r="B196">
        <v>4</v>
      </c>
      <c r="C196" t="s">
        <v>12</v>
      </c>
      <c r="D196" t="s">
        <v>14</v>
      </c>
      <c r="E196" t="s">
        <v>15</v>
      </c>
      <c r="F196" t="s">
        <v>16</v>
      </c>
      <c r="G196">
        <v>2</v>
      </c>
      <c r="H196">
        <v>24.125452352231601</v>
      </c>
    </row>
    <row r="197" spans="1:8" x14ac:dyDescent="0.25">
      <c r="A197">
        <v>7.56</v>
      </c>
      <c r="B197">
        <v>1.44</v>
      </c>
      <c r="C197" t="s">
        <v>12</v>
      </c>
      <c r="D197" t="s">
        <v>9</v>
      </c>
      <c r="E197" t="s">
        <v>15</v>
      </c>
      <c r="F197" t="s">
        <v>16</v>
      </c>
      <c r="G197">
        <v>2</v>
      </c>
      <c r="H197">
        <v>19.047619047619001</v>
      </c>
    </row>
    <row r="198" spans="1:8" x14ac:dyDescent="0.25">
      <c r="A198">
        <v>10.34</v>
      </c>
      <c r="B198">
        <v>2</v>
      </c>
      <c r="C198" t="s">
        <v>12</v>
      </c>
      <c r="D198" t="s">
        <v>14</v>
      </c>
      <c r="E198" t="s">
        <v>15</v>
      </c>
      <c r="F198" t="s">
        <v>16</v>
      </c>
      <c r="G198">
        <v>2</v>
      </c>
      <c r="H198">
        <v>19.342359767891601</v>
      </c>
    </row>
    <row r="199" spans="1:8" x14ac:dyDescent="0.25">
      <c r="A199">
        <v>43.11</v>
      </c>
      <c r="B199">
        <v>5</v>
      </c>
      <c r="C199" t="s">
        <v>8</v>
      </c>
      <c r="D199" t="s">
        <v>14</v>
      </c>
      <c r="E199" t="s">
        <v>15</v>
      </c>
      <c r="F199" t="s">
        <v>16</v>
      </c>
      <c r="G199">
        <v>4</v>
      </c>
      <c r="H199">
        <v>11.5982370679656</v>
      </c>
    </row>
    <row r="200" spans="1:8" x14ac:dyDescent="0.25">
      <c r="A200">
        <v>13</v>
      </c>
      <c r="B200">
        <v>2</v>
      </c>
      <c r="C200" t="s">
        <v>8</v>
      </c>
      <c r="D200" t="s">
        <v>14</v>
      </c>
      <c r="E200" t="s">
        <v>15</v>
      </c>
      <c r="F200" t="s">
        <v>16</v>
      </c>
      <c r="G200">
        <v>2</v>
      </c>
      <c r="H200">
        <v>15.3846153846153</v>
      </c>
    </row>
    <row r="201" spans="1:8" x14ac:dyDescent="0.25">
      <c r="A201">
        <v>13.51</v>
      </c>
      <c r="B201">
        <v>2</v>
      </c>
      <c r="C201" t="s">
        <v>12</v>
      </c>
      <c r="D201" t="s">
        <v>14</v>
      </c>
      <c r="E201" t="s">
        <v>15</v>
      </c>
      <c r="F201" t="s">
        <v>16</v>
      </c>
      <c r="G201">
        <v>2</v>
      </c>
      <c r="H201">
        <v>14.803849000740099</v>
      </c>
    </row>
    <row r="202" spans="1:8" x14ac:dyDescent="0.25">
      <c r="A202">
        <v>18.71</v>
      </c>
      <c r="B202">
        <v>4</v>
      </c>
      <c r="C202" t="s">
        <v>12</v>
      </c>
      <c r="D202" t="s">
        <v>14</v>
      </c>
      <c r="E202" t="s">
        <v>15</v>
      </c>
      <c r="F202" t="s">
        <v>16</v>
      </c>
      <c r="G202">
        <v>3</v>
      </c>
      <c r="H202">
        <v>21.378941742383699</v>
      </c>
    </row>
    <row r="203" spans="1:8" x14ac:dyDescent="0.25">
      <c r="A203">
        <v>12.74</v>
      </c>
      <c r="B203">
        <v>2.0099999999999998</v>
      </c>
      <c r="C203" t="s">
        <v>8</v>
      </c>
      <c r="D203" t="s">
        <v>14</v>
      </c>
      <c r="E203" t="s">
        <v>15</v>
      </c>
      <c r="F203" t="s">
        <v>16</v>
      </c>
      <c r="G203">
        <v>2</v>
      </c>
      <c r="H203">
        <v>15.777080062794299</v>
      </c>
    </row>
    <row r="204" spans="1:8" x14ac:dyDescent="0.25">
      <c r="A204">
        <v>13</v>
      </c>
      <c r="B204">
        <v>2</v>
      </c>
      <c r="C204" t="s">
        <v>8</v>
      </c>
      <c r="D204" t="s">
        <v>14</v>
      </c>
      <c r="E204" t="s">
        <v>15</v>
      </c>
      <c r="F204" t="s">
        <v>16</v>
      </c>
      <c r="G204">
        <v>2</v>
      </c>
      <c r="H204">
        <v>15.3846153846153</v>
      </c>
    </row>
    <row r="205" spans="1:8" x14ac:dyDescent="0.25">
      <c r="A205">
        <v>16.399999999999999</v>
      </c>
      <c r="B205">
        <v>2.5</v>
      </c>
      <c r="C205" t="s">
        <v>8</v>
      </c>
      <c r="D205" t="s">
        <v>14</v>
      </c>
      <c r="E205" t="s">
        <v>15</v>
      </c>
      <c r="F205" t="s">
        <v>16</v>
      </c>
      <c r="G205">
        <v>2</v>
      </c>
      <c r="H205">
        <v>15.2439024390243</v>
      </c>
    </row>
    <row r="206" spans="1:8" x14ac:dyDescent="0.25">
      <c r="A206">
        <v>20.53</v>
      </c>
      <c r="B206">
        <v>4</v>
      </c>
      <c r="C206" t="s">
        <v>12</v>
      </c>
      <c r="D206" t="s">
        <v>14</v>
      </c>
      <c r="E206" t="s">
        <v>15</v>
      </c>
      <c r="F206" t="s">
        <v>16</v>
      </c>
      <c r="G206">
        <v>4</v>
      </c>
      <c r="H206">
        <v>19.483682415976599</v>
      </c>
    </row>
    <row r="207" spans="1:8" x14ac:dyDescent="0.25">
      <c r="A207">
        <v>16.47</v>
      </c>
      <c r="B207">
        <v>3.23</v>
      </c>
      <c r="C207" t="s">
        <v>8</v>
      </c>
      <c r="D207" t="s">
        <v>14</v>
      </c>
      <c r="E207" t="s">
        <v>15</v>
      </c>
      <c r="F207" t="s">
        <v>16</v>
      </c>
      <c r="G207">
        <v>3</v>
      </c>
      <c r="H207">
        <v>19.611414693381899</v>
      </c>
    </row>
    <row r="208" spans="1:8" x14ac:dyDescent="0.25">
      <c r="A208">
        <v>26.59</v>
      </c>
      <c r="B208">
        <v>3.41</v>
      </c>
      <c r="C208" t="s">
        <v>12</v>
      </c>
      <c r="D208" t="s">
        <v>14</v>
      </c>
      <c r="E208" t="s">
        <v>13</v>
      </c>
      <c r="F208" t="s">
        <v>11</v>
      </c>
      <c r="G208">
        <v>3</v>
      </c>
      <c r="H208">
        <v>12.824370063933801</v>
      </c>
    </row>
    <row r="209" spans="1:8" x14ac:dyDescent="0.25">
      <c r="A209">
        <v>38.729999999999997</v>
      </c>
      <c r="B209">
        <v>3</v>
      </c>
      <c r="C209" t="s">
        <v>12</v>
      </c>
      <c r="D209" t="s">
        <v>14</v>
      </c>
      <c r="E209" t="s">
        <v>13</v>
      </c>
      <c r="F209" t="s">
        <v>11</v>
      </c>
      <c r="G209">
        <v>4</v>
      </c>
      <c r="H209">
        <v>7.74593338497289</v>
      </c>
    </row>
    <row r="210" spans="1:8" x14ac:dyDescent="0.25">
      <c r="A210">
        <v>24.27</v>
      </c>
      <c r="B210">
        <v>2.0299999999999998</v>
      </c>
      <c r="C210" t="s">
        <v>12</v>
      </c>
      <c r="D210" t="s">
        <v>14</v>
      </c>
      <c r="E210" t="s">
        <v>13</v>
      </c>
      <c r="F210" t="s">
        <v>11</v>
      </c>
      <c r="G210">
        <v>2</v>
      </c>
      <c r="H210">
        <v>8.3642356819118202</v>
      </c>
    </row>
    <row r="211" spans="1:8" x14ac:dyDescent="0.25">
      <c r="A211">
        <v>12.76</v>
      </c>
      <c r="B211">
        <v>2.23</v>
      </c>
      <c r="C211" t="s">
        <v>8</v>
      </c>
      <c r="D211" t="s">
        <v>14</v>
      </c>
      <c r="E211" t="s">
        <v>13</v>
      </c>
      <c r="F211" t="s">
        <v>11</v>
      </c>
      <c r="G211">
        <v>2</v>
      </c>
      <c r="H211">
        <v>17.476489028213098</v>
      </c>
    </row>
    <row r="212" spans="1:8" x14ac:dyDescent="0.25">
      <c r="A212">
        <v>30.06</v>
      </c>
      <c r="B212">
        <v>2</v>
      </c>
      <c r="C212" t="s">
        <v>12</v>
      </c>
      <c r="D212" t="s">
        <v>14</v>
      </c>
      <c r="E212" t="s">
        <v>13</v>
      </c>
      <c r="F212" t="s">
        <v>11</v>
      </c>
      <c r="G212">
        <v>3</v>
      </c>
      <c r="H212">
        <v>6.6533599467731204</v>
      </c>
    </row>
    <row r="213" spans="1:8" x14ac:dyDescent="0.25">
      <c r="A213">
        <v>25.89</v>
      </c>
      <c r="B213">
        <v>5.16</v>
      </c>
      <c r="C213" t="s">
        <v>12</v>
      </c>
      <c r="D213" t="s">
        <v>14</v>
      </c>
      <c r="E213" t="s">
        <v>13</v>
      </c>
      <c r="F213" t="s">
        <v>11</v>
      </c>
      <c r="G213">
        <v>4</v>
      </c>
      <c r="H213">
        <v>19.9304750869061</v>
      </c>
    </row>
    <row r="214" spans="1:8" x14ac:dyDescent="0.25">
      <c r="A214">
        <v>48.33</v>
      </c>
      <c r="B214">
        <v>9</v>
      </c>
      <c r="C214" t="s">
        <v>12</v>
      </c>
      <c r="D214" t="s">
        <v>9</v>
      </c>
      <c r="E214" t="s">
        <v>13</v>
      </c>
      <c r="F214" t="s">
        <v>11</v>
      </c>
      <c r="G214">
        <v>4</v>
      </c>
      <c r="H214">
        <v>18.6219739292365</v>
      </c>
    </row>
    <row r="215" spans="1:8" x14ac:dyDescent="0.25">
      <c r="A215">
        <v>13.27</v>
      </c>
      <c r="B215">
        <v>2.5</v>
      </c>
      <c r="C215" t="s">
        <v>8</v>
      </c>
      <c r="D215" t="s">
        <v>14</v>
      </c>
      <c r="E215" t="s">
        <v>13</v>
      </c>
      <c r="F215" t="s">
        <v>11</v>
      </c>
      <c r="G215">
        <v>2</v>
      </c>
      <c r="H215">
        <v>18.8394875659382</v>
      </c>
    </row>
    <row r="216" spans="1:8" x14ac:dyDescent="0.25">
      <c r="A216">
        <v>28.17</v>
      </c>
      <c r="B216">
        <v>6.5</v>
      </c>
      <c r="C216" t="s">
        <v>8</v>
      </c>
      <c r="D216" t="s">
        <v>14</v>
      </c>
      <c r="E216" t="s">
        <v>13</v>
      </c>
      <c r="F216" t="s">
        <v>11</v>
      </c>
      <c r="G216">
        <v>3</v>
      </c>
      <c r="H216">
        <v>23.074192403265801</v>
      </c>
    </row>
    <row r="217" spans="1:8" x14ac:dyDescent="0.25">
      <c r="A217">
        <v>12.9</v>
      </c>
      <c r="B217">
        <v>1.1000000000000001</v>
      </c>
      <c r="C217" t="s">
        <v>8</v>
      </c>
      <c r="D217" t="s">
        <v>14</v>
      </c>
      <c r="E217" t="s">
        <v>13</v>
      </c>
      <c r="F217" t="s">
        <v>11</v>
      </c>
      <c r="G217">
        <v>2</v>
      </c>
      <c r="H217">
        <v>8.5271317829457303</v>
      </c>
    </row>
    <row r="218" spans="1:8" x14ac:dyDescent="0.25">
      <c r="A218">
        <v>28.15</v>
      </c>
      <c r="B218">
        <v>3</v>
      </c>
      <c r="C218" t="s">
        <v>12</v>
      </c>
      <c r="D218" t="s">
        <v>14</v>
      </c>
      <c r="E218" t="s">
        <v>13</v>
      </c>
      <c r="F218" t="s">
        <v>11</v>
      </c>
      <c r="G218">
        <v>5</v>
      </c>
      <c r="H218">
        <v>10.657193605683799</v>
      </c>
    </row>
    <row r="219" spans="1:8" x14ac:dyDescent="0.25">
      <c r="A219">
        <v>11.59</v>
      </c>
      <c r="B219">
        <v>1.5</v>
      </c>
      <c r="C219" t="s">
        <v>12</v>
      </c>
      <c r="D219" t="s">
        <v>14</v>
      </c>
      <c r="E219" t="s">
        <v>13</v>
      </c>
      <c r="F219" t="s">
        <v>11</v>
      </c>
      <c r="G219">
        <v>2</v>
      </c>
      <c r="H219">
        <v>12.942191544434801</v>
      </c>
    </row>
    <row r="220" spans="1:8" x14ac:dyDescent="0.25">
      <c r="A220">
        <v>7.74</v>
      </c>
      <c r="B220">
        <v>1.44</v>
      </c>
      <c r="C220" t="s">
        <v>12</v>
      </c>
      <c r="D220" t="s">
        <v>14</v>
      </c>
      <c r="E220" t="s">
        <v>13</v>
      </c>
      <c r="F220" t="s">
        <v>11</v>
      </c>
      <c r="G220">
        <v>2</v>
      </c>
      <c r="H220">
        <v>18.604651162790699</v>
      </c>
    </row>
    <row r="221" spans="1:8" x14ac:dyDescent="0.25">
      <c r="A221">
        <v>30.14</v>
      </c>
      <c r="B221">
        <v>3.09</v>
      </c>
      <c r="C221" t="s">
        <v>8</v>
      </c>
      <c r="D221" t="s">
        <v>14</v>
      </c>
      <c r="E221" t="s">
        <v>13</v>
      </c>
      <c r="F221" t="s">
        <v>11</v>
      </c>
      <c r="G221">
        <v>4</v>
      </c>
      <c r="H221">
        <v>10.252156602521501</v>
      </c>
    </row>
    <row r="222" spans="1:8" x14ac:dyDescent="0.25">
      <c r="A222">
        <v>12.16</v>
      </c>
      <c r="B222">
        <v>2.2000000000000002</v>
      </c>
      <c r="C222" t="s">
        <v>12</v>
      </c>
      <c r="D222" t="s">
        <v>14</v>
      </c>
      <c r="E222" t="s">
        <v>17</v>
      </c>
      <c r="F222" t="s">
        <v>16</v>
      </c>
      <c r="G222">
        <v>2</v>
      </c>
      <c r="H222">
        <v>18.092105263157801</v>
      </c>
    </row>
    <row r="223" spans="1:8" x14ac:dyDescent="0.25">
      <c r="A223">
        <v>13.42</v>
      </c>
      <c r="B223">
        <v>3.48</v>
      </c>
      <c r="C223" t="s">
        <v>8</v>
      </c>
      <c r="D223" t="s">
        <v>14</v>
      </c>
      <c r="E223" t="s">
        <v>17</v>
      </c>
      <c r="F223" t="s">
        <v>16</v>
      </c>
      <c r="G223">
        <v>2</v>
      </c>
      <c r="H223">
        <v>25.931445603576702</v>
      </c>
    </row>
    <row r="224" spans="1:8" x14ac:dyDescent="0.25">
      <c r="A224">
        <v>8.58</v>
      </c>
      <c r="B224">
        <v>1.92</v>
      </c>
      <c r="C224" t="s">
        <v>12</v>
      </c>
      <c r="D224" t="s">
        <v>14</v>
      </c>
      <c r="E224" t="s">
        <v>17</v>
      </c>
      <c r="F224" t="s">
        <v>16</v>
      </c>
      <c r="G224">
        <v>1</v>
      </c>
      <c r="H224">
        <v>22.377622377622298</v>
      </c>
    </row>
    <row r="225" spans="1:8" x14ac:dyDescent="0.25">
      <c r="A225">
        <v>15.98</v>
      </c>
      <c r="B225">
        <v>3</v>
      </c>
      <c r="C225" t="s">
        <v>8</v>
      </c>
      <c r="D225" t="s">
        <v>9</v>
      </c>
      <c r="E225" t="s">
        <v>17</v>
      </c>
      <c r="F225" t="s">
        <v>16</v>
      </c>
      <c r="G225">
        <v>3</v>
      </c>
      <c r="H225">
        <v>18.773466833541899</v>
      </c>
    </row>
    <row r="226" spans="1:8" x14ac:dyDescent="0.25">
      <c r="A226">
        <v>13.42</v>
      </c>
      <c r="B226">
        <v>1.58</v>
      </c>
      <c r="C226" t="s">
        <v>12</v>
      </c>
      <c r="D226" t="s">
        <v>14</v>
      </c>
      <c r="E226" t="s">
        <v>17</v>
      </c>
      <c r="F226" t="s">
        <v>16</v>
      </c>
      <c r="G226">
        <v>2</v>
      </c>
      <c r="H226">
        <v>11.7734724292101</v>
      </c>
    </row>
    <row r="227" spans="1:8" x14ac:dyDescent="0.25">
      <c r="A227">
        <v>16.27</v>
      </c>
      <c r="B227">
        <v>2.5</v>
      </c>
      <c r="C227" t="s">
        <v>8</v>
      </c>
      <c r="D227" t="s">
        <v>14</v>
      </c>
      <c r="E227" t="s">
        <v>17</v>
      </c>
      <c r="F227" t="s">
        <v>16</v>
      </c>
      <c r="G227">
        <v>2</v>
      </c>
      <c r="H227">
        <v>15.365703749231701</v>
      </c>
    </row>
    <row r="228" spans="1:8" x14ac:dyDescent="0.25">
      <c r="A228">
        <v>10.09</v>
      </c>
      <c r="B228">
        <v>2</v>
      </c>
      <c r="C228" t="s">
        <v>8</v>
      </c>
      <c r="D228" t="s">
        <v>14</v>
      </c>
      <c r="E228" t="s">
        <v>17</v>
      </c>
      <c r="F228" t="s">
        <v>16</v>
      </c>
      <c r="G228">
        <v>2</v>
      </c>
      <c r="H228">
        <v>19.821605550049501</v>
      </c>
    </row>
    <row r="229" spans="1:8" x14ac:dyDescent="0.25">
      <c r="A229">
        <v>20.45</v>
      </c>
      <c r="B229">
        <v>3</v>
      </c>
      <c r="C229" t="s">
        <v>12</v>
      </c>
      <c r="D229" t="s">
        <v>9</v>
      </c>
      <c r="E229" t="s">
        <v>13</v>
      </c>
      <c r="F229" t="s">
        <v>11</v>
      </c>
      <c r="G229">
        <v>4</v>
      </c>
      <c r="H229">
        <v>14.669926650366699</v>
      </c>
    </row>
    <row r="230" spans="1:8" x14ac:dyDescent="0.25">
      <c r="A230">
        <v>13.28</v>
      </c>
      <c r="B230">
        <v>2.72</v>
      </c>
      <c r="C230" t="s">
        <v>12</v>
      </c>
      <c r="D230" t="s">
        <v>9</v>
      </c>
      <c r="E230" t="s">
        <v>13</v>
      </c>
      <c r="F230" t="s">
        <v>11</v>
      </c>
      <c r="G230">
        <v>2</v>
      </c>
      <c r="H230">
        <v>20.481927710843301</v>
      </c>
    </row>
    <row r="231" spans="1:8" x14ac:dyDescent="0.25">
      <c r="A231">
        <v>22.12</v>
      </c>
      <c r="B231">
        <v>2.88</v>
      </c>
      <c r="C231" t="s">
        <v>8</v>
      </c>
      <c r="D231" t="s">
        <v>14</v>
      </c>
      <c r="E231" t="s">
        <v>13</v>
      </c>
      <c r="F231" t="s">
        <v>11</v>
      </c>
      <c r="G231">
        <v>2</v>
      </c>
      <c r="H231">
        <v>13.0198915009041</v>
      </c>
    </row>
    <row r="232" spans="1:8" x14ac:dyDescent="0.25">
      <c r="A232">
        <v>24.01</v>
      </c>
      <c r="B232">
        <v>2</v>
      </c>
      <c r="C232" t="s">
        <v>12</v>
      </c>
      <c r="D232" t="s">
        <v>14</v>
      </c>
      <c r="E232" t="s">
        <v>13</v>
      </c>
      <c r="F232" t="s">
        <v>11</v>
      </c>
      <c r="G232">
        <v>4</v>
      </c>
      <c r="H232">
        <v>8.3298625572678002</v>
      </c>
    </row>
    <row r="233" spans="1:8" x14ac:dyDescent="0.25">
      <c r="A233">
        <v>15.69</v>
      </c>
      <c r="B233">
        <v>3</v>
      </c>
      <c r="C233" t="s">
        <v>12</v>
      </c>
      <c r="D233" t="s">
        <v>14</v>
      </c>
      <c r="E233" t="s">
        <v>13</v>
      </c>
      <c r="F233" t="s">
        <v>11</v>
      </c>
      <c r="G233">
        <v>3</v>
      </c>
      <c r="H233">
        <v>19.1204588910133</v>
      </c>
    </row>
    <row r="234" spans="1:8" x14ac:dyDescent="0.25">
      <c r="A234">
        <v>11.61</v>
      </c>
      <c r="B234">
        <v>3.39</v>
      </c>
      <c r="C234" t="s">
        <v>12</v>
      </c>
      <c r="D234" t="s">
        <v>9</v>
      </c>
      <c r="E234" t="s">
        <v>13</v>
      </c>
      <c r="F234" t="s">
        <v>11</v>
      </c>
      <c r="G234">
        <v>2</v>
      </c>
      <c r="H234">
        <v>29.198966408268699</v>
      </c>
    </row>
    <row r="235" spans="1:8" x14ac:dyDescent="0.25">
      <c r="A235">
        <v>10.77</v>
      </c>
      <c r="B235">
        <v>1.47</v>
      </c>
      <c r="C235" t="s">
        <v>12</v>
      </c>
      <c r="D235" t="s">
        <v>9</v>
      </c>
      <c r="E235" t="s">
        <v>13</v>
      </c>
      <c r="F235" t="s">
        <v>11</v>
      </c>
      <c r="G235">
        <v>2</v>
      </c>
      <c r="H235">
        <v>13.649025069637799</v>
      </c>
    </row>
    <row r="236" spans="1:8" x14ac:dyDescent="0.25">
      <c r="A236">
        <v>15.53</v>
      </c>
      <c r="B236">
        <v>3</v>
      </c>
      <c r="C236" t="s">
        <v>12</v>
      </c>
      <c r="D236" t="s">
        <v>14</v>
      </c>
      <c r="E236" t="s">
        <v>13</v>
      </c>
      <c r="F236" t="s">
        <v>11</v>
      </c>
      <c r="G236">
        <v>2</v>
      </c>
      <c r="H236">
        <v>19.317450096587201</v>
      </c>
    </row>
    <row r="237" spans="1:8" x14ac:dyDescent="0.25">
      <c r="A237">
        <v>10.07</v>
      </c>
      <c r="B237">
        <v>1.25</v>
      </c>
      <c r="C237" t="s">
        <v>12</v>
      </c>
      <c r="D237" t="s">
        <v>9</v>
      </c>
      <c r="E237" t="s">
        <v>13</v>
      </c>
      <c r="F237" t="s">
        <v>11</v>
      </c>
      <c r="G237">
        <v>2</v>
      </c>
      <c r="H237">
        <v>12.413108242303799</v>
      </c>
    </row>
    <row r="238" spans="1:8" x14ac:dyDescent="0.25">
      <c r="A238">
        <v>12.6</v>
      </c>
      <c r="B238">
        <v>1</v>
      </c>
      <c r="C238" t="s">
        <v>12</v>
      </c>
      <c r="D238" t="s">
        <v>14</v>
      </c>
      <c r="E238" t="s">
        <v>13</v>
      </c>
      <c r="F238" t="s">
        <v>11</v>
      </c>
      <c r="G238">
        <v>2</v>
      </c>
      <c r="H238">
        <v>7.9365079365079296</v>
      </c>
    </row>
    <row r="239" spans="1:8" x14ac:dyDescent="0.25">
      <c r="A239">
        <v>32.83</v>
      </c>
      <c r="B239">
        <v>1.17</v>
      </c>
      <c r="C239" t="s">
        <v>12</v>
      </c>
      <c r="D239" t="s">
        <v>14</v>
      </c>
      <c r="E239" t="s">
        <v>13</v>
      </c>
      <c r="F239" t="s">
        <v>11</v>
      </c>
      <c r="G239">
        <v>2</v>
      </c>
      <c r="H239">
        <v>3.5638135851355401</v>
      </c>
    </row>
    <row r="240" spans="1:8" x14ac:dyDescent="0.25">
      <c r="A240">
        <v>35.83</v>
      </c>
      <c r="B240">
        <v>4.67</v>
      </c>
      <c r="C240" t="s">
        <v>8</v>
      </c>
      <c r="D240" t="s">
        <v>9</v>
      </c>
      <c r="E240" t="s">
        <v>13</v>
      </c>
      <c r="F240" t="s">
        <v>11</v>
      </c>
      <c r="G240">
        <v>3</v>
      </c>
      <c r="H240">
        <v>13.03377058331</v>
      </c>
    </row>
    <row r="241" spans="1:8" x14ac:dyDescent="0.25">
      <c r="A241">
        <v>29.03</v>
      </c>
      <c r="B241">
        <v>5.92</v>
      </c>
      <c r="C241" t="s">
        <v>12</v>
      </c>
      <c r="D241" t="s">
        <v>9</v>
      </c>
      <c r="E241" t="s">
        <v>13</v>
      </c>
      <c r="F241" t="s">
        <v>11</v>
      </c>
      <c r="G241">
        <v>3</v>
      </c>
      <c r="H241">
        <v>20.392697209782899</v>
      </c>
    </row>
    <row r="242" spans="1:8" x14ac:dyDescent="0.25">
      <c r="A242">
        <v>27.18</v>
      </c>
      <c r="B242">
        <v>2</v>
      </c>
      <c r="C242" t="s">
        <v>8</v>
      </c>
      <c r="D242" t="s">
        <v>14</v>
      </c>
      <c r="E242" t="s">
        <v>13</v>
      </c>
      <c r="F242" t="s">
        <v>11</v>
      </c>
      <c r="G242">
        <v>2</v>
      </c>
      <c r="H242">
        <v>7.3583517292126501</v>
      </c>
    </row>
    <row r="243" spans="1:8" x14ac:dyDescent="0.25">
      <c r="A243">
        <v>22.67</v>
      </c>
      <c r="B243">
        <v>2</v>
      </c>
      <c r="C243" t="s">
        <v>12</v>
      </c>
      <c r="D243" t="s">
        <v>14</v>
      </c>
      <c r="E243" t="s">
        <v>13</v>
      </c>
      <c r="F243" t="s">
        <v>11</v>
      </c>
      <c r="G243">
        <v>2</v>
      </c>
      <c r="H243">
        <v>8.8222320247022399</v>
      </c>
    </row>
    <row r="244" spans="1:8" x14ac:dyDescent="0.25">
      <c r="A244">
        <v>17.82</v>
      </c>
      <c r="B244">
        <v>1.75</v>
      </c>
      <c r="C244" t="s">
        <v>12</v>
      </c>
      <c r="D244" t="s">
        <v>9</v>
      </c>
      <c r="E244" t="s">
        <v>13</v>
      </c>
      <c r="F244" t="s">
        <v>11</v>
      </c>
      <c r="G244">
        <v>2</v>
      </c>
      <c r="H244">
        <v>9.8204264870931492</v>
      </c>
    </row>
    <row r="245" spans="1:8" x14ac:dyDescent="0.25">
      <c r="A245">
        <v>18.78</v>
      </c>
      <c r="B245">
        <v>3</v>
      </c>
      <c r="C245" t="s">
        <v>8</v>
      </c>
      <c r="D245" t="s">
        <v>9</v>
      </c>
      <c r="E245" t="s">
        <v>15</v>
      </c>
      <c r="F245" t="s">
        <v>11</v>
      </c>
      <c r="G245">
        <v>2</v>
      </c>
      <c r="H245">
        <v>15.9744408945686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N47"/>
  <sheetViews>
    <sheetView showGridLines="0" tabSelected="1" topLeftCell="A21" zoomScale="80" zoomScaleNormal="80" workbookViewId="0">
      <selection activeCell="X12" sqref="X12"/>
    </sheetView>
  </sheetViews>
  <sheetFormatPr defaultRowHeight="15" x14ac:dyDescent="0.25"/>
  <sheetData>
    <row r="1" spans="1:14" x14ac:dyDescent="0.25">
      <c r="A1" s="6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4" x14ac:dyDescent="0.25">
      <c r="A4" s="8" t="s">
        <v>28</v>
      </c>
      <c r="B4" s="8"/>
      <c r="C4" s="8"/>
      <c r="D4" s="8" t="s">
        <v>29</v>
      </c>
      <c r="E4" s="8"/>
      <c r="F4" s="8"/>
      <c r="G4" s="10" t="s">
        <v>30</v>
      </c>
      <c r="H4" s="10"/>
      <c r="I4" s="10"/>
      <c r="J4" s="10" t="s">
        <v>31</v>
      </c>
      <c r="K4" s="10"/>
      <c r="L4" s="10"/>
    </row>
    <row r="5" spans="1:14" ht="15" customHeight="1" x14ac:dyDescent="0.25">
      <c r="A5" s="9">
        <f>AVERAGE(tips_cleanedexcel!H2:H245)</f>
        <v>16.080258172250424</v>
      </c>
      <c r="B5" s="9"/>
      <c r="C5" s="9"/>
      <c r="D5" s="9">
        <f>AVERAGE(tips_cleanedexcel!A2:A245)</f>
        <v>19.785942622950824</v>
      </c>
      <c r="E5" s="9"/>
      <c r="F5" s="9"/>
      <c r="G5" s="11">
        <f>COUNTA(tips_cleanedexcel!A2:A245)</f>
        <v>244</v>
      </c>
      <c r="H5" s="11"/>
      <c r="I5" s="11"/>
      <c r="J5" s="12">
        <f>AVERAGE(tips_cleanedexcel!G2:G245)</f>
        <v>2.569672131147541</v>
      </c>
      <c r="K5" s="12"/>
      <c r="L5" s="12"/>
    </row>
    <row r="6" spans="1:14" ht="15" customHeight="1" x14ac:dyDescent="0.25">
      <c r="A6" s="9"/>
      <c r="B6" s="9"/>
      <c r="C6" s="9"/>
      <c r="D6" s="9"/>
      <c r="E6" s="9"/>
      <c r="F6" s="9"/>
      <c r="G6" s="11"/>
      <c r="H6" s="11"/>
      <c r="I6" s="11"/>
      <c r="J6" s="12"/>
      <c r="K6" s="12"/>
      <c r="L6" s="12"/>
    </row>
    <row r="40" spans="1:3" x14ac:dyDescent="0.25">
      <c r="A40" s="5" t="s">
        <v>32</v>
      </c>
      <c r="B40" s="5"/>
      <c r="C40" s="5"/>
    </row>
    <row r="41" spans="1:3" x14ac:dyDescent="0.25">
      <c r="A41" s="5"/>
      <c r="B41" s="5"/>
      <c r="C41" s="5"/>
    </row>
    <row r="42" spans="1:3" x14ac:dyDescent="0.25">
      <c r="B42" t="s">
        <v>33</v>
      </c>
    </row>
    <row r="43" spans="1:3" x14ac:dyDescent="0.25">
      <c r="B43" t="s">
        <v>34</v>
      </c>
    </row>
    <row r="45" spans="1:3" x14ac:dyDescent="0.25">
      <c r="B45" t="s">
        <v>35</v>
      </c>
    </row>
    <row r="47" spans="1:3" x14ac:dyDescent="0.25">
      <c r="B47" t="s">
        <v>36</v>
      </c>
    </row>
  </sheetData>
  <mergeCells count="10">
    <mergeCell ref="A40:C41"/>
    <mergeCell ref="A1:N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BarChart</vt:lpstr>
      <vt:lpstr>PieChart</vt:lpstr>
      <vt:lpstr>Scatterplot</vt:lpstr>
      <vt:lpstr>tips_cleanedexcel</vt:lpstr>
      <vt:lpstr>Tips_Dashboard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Sravya B</dc:creator>
  <cp:lastModifiedBy>Sravya B</cp:lastModifiedBy>
  <dcterms:created xsi:type="dcterms:W3CDTF">2026-08-09T12:28:39Z</dcterms:created>
  <dcterms:modified xsi:type="dcterms:W3CDTF">2026-08-10T15:38:06Z</dcterms:modified>
</cp:coreProperties>
</file>